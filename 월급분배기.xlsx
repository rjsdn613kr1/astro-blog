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ggoungwoo/Desktop/"/>
    </mc:Choice>
  </mc:AlternateContent>
  <xr:revisionPtr revIDLastSave="0" documentId="13_ncr:1_{BD475AB7-AF48-6E41-8FBF-CB603A77D453}" xr6:coauthVersionLast="47" xr6:coauthVersionMax="47" xr10:uidLastSave="{00000000-0000-0000-0000-000000000000}"/>
  <bookViews>
    <workbookView xWindow="12080" yWindow="1640" windowWidth="51200" windowHeight="26960" tabRatio="500" xr2:uid="{00000000-000D-0000-FFFF-FFFF00000000}"/>
  </bookViews>
  <sheets>
    <sheet name="월급분배기" sheetId="1" r:id="rId1"/>
    <sheet name="위시리스트" sheetId="2" r:id="rId2"/>
    <sheet name="생활비 예산관리" sheetId="3" r:id="rId3"/>
    <sheet name="연간 저축 트래커" sheetId="4" r:id="rId4"/>
    <sheet name="순자산 트래커" sheetId="5" r:id="rId5"/>
    <sheet name="재무 진단 (50-30-20)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" i="1" l="1"/>
  <c r="E14" i="6"/>
  <c r="E23" i="5"/>
  <c r="C23" i="5"/>
  <c r="C13" i="5"/>
  <c r="E12" i="4"/>
  <c r="C12" i="4"/>
  <c r="G11" i="4"/>
  <c r="F11" i="4"/>
  <c r="D11" i="4"/>
  <c r="H11" i="4" s="1"/>
  <c r="G10" i="4"/>
  <c r="F10" i="4"/>
  <c r="D10" i="4"/>
  <c r="H10" i="4" s="1"/>
  <c r="G9" i="4"/>
  <c r="F9" i="4"/>
  <c r="D9" i="4"/>
  <c r="H9" i="4" s="1"/>
  <c r="G8" i="4"/>
  <c r="F8" i="4"/>
  <c r="D8" i="4"/>
  <c r="H8" i="4" s="1"/>
  <c r="G7" i="4"/>
  <c r="F7" i="4"/>
  <c r="D7" i="4"/>
  <c r="H7" i="4" s="1"/>
  <c r="G6" i="4"/>
  <c r="F6" i="4"/>
  <c r="D6" i="4"/>
  <c r="G21" i="3"/>
  <c r="F21" i="3"/>
  <c r="D21" i="3"/>
  <c r="C21" i="3"/>
  <c r="E21" i="3" s="1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E38" i="2"/>
  <c r="D36" i="2"/>
  <c r="E51" i="1"/>
  <c r="C51" i="1"/>
  <c r="E50" i="1"/>
  <c r="E49" i="1"/>
  <c r="C49" i="1"/>
  <c r="D39" i="1"/>
  <c r="F13" i="1"/>
  <c r="F12" i="1"/>
  <c r="F14" i="1" s="1"/>
  <c r="F8" i="1"/>
  <c r="F7" i="1"/>
  <c r="F9" i="1" l="1"/>
  <c r="F15" i="1" s="1"/>
  <c r="E26" i="5"/>
  <c r="C26" i="5"/>
  <c r="G12" i="4"/>
  <c r="F12" i="4"/>
  <c r="H6" i="4"/>
  <c r="D12" i="4"/>
  <c r="D43" i="1"/>
  <c r="C52" i="1"/>
  <c r="E43" i="1" l="1"/>
  <c r="E19" i="1"/>
  <c r="E20" i="1"/>
  <c r="E21" i="1"/>
  <c r="E22" i="1"/>
  <c r="E23" i="1"/>
  <c r="E24" i="1"/>
  <c r="E25" i="1"/>
  <c r="E26" i="1"/>
  <c r="E39" i="1"/>
  <c r="D51" i="1"/>
  <c r="D50" i="1"/>
  <c r="D52" i="1"/>
  <c r="C53" i="1"/>
  <c r="D53" i="1" s="1"/>
  <c r="C54" i="1"/>
  <c r="D54" i="1"/>
  <c r="E27" i="1"/>
  <c r="E29" i="1"/>
  <c r="E30" i="1"/>
  <c r="E31" i="1"/>
  <c r="E32" i="1"/>
  <c r="E33" i="1"/>
  <c r="E34" i="1"/>
  <c r="E35" i="1"/>
  <c r="E36" i="1"/>
  <c r="E37" i="1"/>
  <c r="E38" i="1"/>
  <c r="D42" i="1"/>
  <c r="D45" i="1"/>
  <c r="D49" i="1"/>
  <c r="D7" i="6"/>
  <c r="D11" i="6" s="1"/>
  <c r="E42" i="1"/>
  <c r="F11" i="6"/>
  <c r="G11" i="6"/>
  <c r="D12" i="6"/>
  <c r="F12" i="6"/>
  <c r="G12" i="6"/>
  <c r="D13" i="6"/>
  <c r="F13" i="6"/>
  <c r="G13" i="6"/>
  <c r="D14" i="6"/>
  <c r="F14" i="6"/>
  <c r="G14" i="6"/>
  <c r="E45" i="1" l="1"/>
  <c r="E5" i="3"/>
  <c r="D38" i="2"/>
</calcChain>
</file>

<file path=xl/sharedStrings.xml><?xml version="1.0" encoding="utf-8"?>
<sst xmlns="http://schemas.openxmlformats.org/spreadsheetml/2006/main" count="223" uniqueCount="187">
  <si>
    <t>💰 월급 분배기</t>
  </si>
  <si>
    <t>▶ 수입 항목</t>
  </si>
  <si>
    <t>항목</t>
  </si>
  <si>
    <t>세전 금액</t>
  </si>
  <si>
    <t>공제 항목</t>
  </si>
  <si>
    <t>공제율</t>
  </si>
  <si>
    <t>공제 금액</t>
  </si>
  <si>
    <t>비고</t>
  </si>
  <si>
    <r>
      <rPr>
        <sz val="10"/>
        <color rgb="FF0000FF"/>
        <rFont val="DejaVu Sans"/>
        <family val="2"/>
      </rPr>
      <t xml:space="preserve">월급 </t>
    </r>
    <r>
      <rPr>
        <sz val="10"/>
        <color rgb="FF0000FF"/>
        <rFont val="DejaVu Sans"/>
        <family val="2"/>
        <charset val="1"/>
      </rPr>
      <t>1</t>
    </r>
  </si>
  <si>
    <t>직접 입력</t>
  </si>
  <si>
    <t>소득세</t>
  </si>
  <si>
    <r>
      <rPr>
        <sz val="10"/>
        <color rgb="FF888888"/>
        <rFont val="Arial"/>
        <family val="2"/>
      </rPr>
      <t>3.3% (</t>
    </r>
    <r>
      <rPr>
        <sz val="10"/>
        <color rgb="FF888888"/>
        <rFont val="DejaVu Sans"/>
        <family val="2"/>
      </rPr>
      <t>사업소득세</t>
    </r>
    <r>
      <rPr>
        <sz val="10"/>
        <color rgb="FF888888"/>
        <rFont val="Arial"/>
        <family val="2"/>
      </rPr>
      <t>)</t>
    </r>
  </si>
  <si>
    <r>
      <rPr>
        <sz val="10"/>
        <color rgb="FF000000"/>
        <rFont val="Arial"/>
        <family val="2"/>
      </rPr>
      <t>4</t>
    </r>
    <r>
      <rPr>
        <sz val="10"/>
        <color rgb="FF000000"/>
        <rFont val="DejaVu Sans"/>
        <family val="2"/>
      </rPr>
      <t>대보험</t>
    </r>
  </si>
  <si>
    <r>
      <rPr>
        <sz val="10"/>
        <color rgb="FF888888"/>
        <rFont val="Arial"/>
        <family val="2"/>
      </rPr>
      <t>8.8% (</t>
    </r>
    <r>
      <rPr>
        <sz val="10"/>
        <color rgb="FF888888"/>
        <rFont val="DejaVu Sans"/>
        <family val="2"/>
      </rPr>
      <t>건강</t>
    </r>
    <r>
      <rPr>
        <sz val="10"/>
        <color rgb="FF888888"/>
        <rFont val="Arial"/>
        <family val="2"/>
      </rPr>
      <t>+</t>
    </r>
    <r>
      <rPr>
        <sz val="10"/>
        <color rgb="FF888888"/>
        <rFont val="DejaVu Sans"/>
        <family val="2"/>
      </rPr>
      <t>국민연금</t>
    </r>
    <r>
      <rPr>
        <sz val="10"/>
        <color rgb="FF888888"/>
        <rFont val="Arial"/>
        <family val="2"/>
      </rPr>
      <t>+</t>
    </r>
    <r>
      <rPr>
        <sz val="10"/>
        <color rgb="FF888888"/>
        <rFont val="DejaVu Sans"/>
        <family val="2"/>
      </rPr>
      <t>고용</t>
    </r>
    <r>
      <rPr>
        <sz val="10"/>
        <color rgb="FF888888"/>
        <rFont val="Arial"/>
        <family val="2"/>
      </rPr>
      <t>+</t>
    </r>
    <r>
      <rPr>
        <sz val="10"/>
        <color rgb="FF888888"/>
        <rFont val="DejaVu Sans"/>
        <family val="2"/>
      </rPr>
      <t>산재</t>
    </r>
    <r>
      <rPr>
        <sz val="10"/>
        <color rgb="FF888888"/>
        <rFont val="Arial"/>
        <family val="2"/>
      </rPr>
      <t>)</t>
    </r>
  </si>
  <si>
    <r>
      <rPr>
        <b/>
        <sz val="10"/>
        <color rgb="FF000000"/>
        <rFont val="DejaVu Sans"/>
        <family val="2"/>
      </rPr>
      <t xml:space="preserve">세후 금액 </t>
    </r>
    <r>
      <rPr>
        <b/>
        <sz val="10"/>
        <color rgb="FF000000"/>
        <rFont val="DejaVu Sans"/>
        <family val="2"/>
        <charset val="1"/>
      </rPr>
      <t>(</t>
    </r>
    <r>
      <rPr>
        <b/>
        <sz val="10"/>
        <color rgb="FF000000"/>
        <rFont val="DejaVu Sans"/>
        <family val="2"/>
      </rPr>
      <t xml:space="preserve">월급 </t>
    </r>
    <r>
      <rPr>
        <b/>
        <sz val="10"/>
        <color rgb="FF000000"/>
        <rFont val="DejaVu Sans"/>
        <family val="2"/>
        <charset val="1"/>
      </rPr>
      <t>1)</t>
    </r>
  </si>
  <si>
    <r>
      <rPr>
        <sz val="10"/>
        <color rgb="FF0000FF"/>
        <rFont val="DejaVu Sans"/>
        <family val="2"/>
      </rPr>
      <t xml:space="preserve">월급 </t>
    </r>
    <r>
      <rPr>
        <sz val="10"/>
        <color rgb="FF0000FF"/>
        <rFont val="DejaVu Sans"/>
        <family val="2"/>
        <charset val="1"/>
      </rPr>
      <t>2</t>
    </r>
  </si>
  <si>
    <r>
      <rPr>
        <b/>
        <sz val="10"/>
        <color rgb="FF000000"/>
        <rFont val="DejaVu Sans"/>
        <family val="2"/>
      </rPr>
      <t xml:space="preserve">세후 금액 </t>
    </r>
    <r>
      <rPr>
        <b/>
        <sz val="10"/>
        <color rgb="FF000000"/>
        <rFont val="DejaVu Sans"/>
        <family val="2"/>
        <charset val="1"/>
      </rPr>
      <t>(</t>
    </r>
    <r>
      <rPr>
        <b/>
        <sz val="10"/>
        <color rgb="FF000000"/>
        <rFont val="DejaVu Sans"/>
        <family val="2"/>
      </rPr>
      <t xml:space="preserve">월급 </t>
    </r>
    <r>
      <rPr>
        <b/>
        <sz val="10"/>
        <color rgb="FF000000"/>
        <rFont val="DejaVu Sans"/>
        <family val="2"/>
        <charset val="1"/>
      </rPr>
      <t>2)</t>
    </r>
  </si>
  <si>
    <t>세후 수입 합계</t>
  </si>
  <si>
    <t>▶ 월급 분배</t>
  </si>
  <si>
    <t>분류</t>
  </si>
  <si>
    <t>금액</t>
  </si>
  <si>
    <t>비율</t>
  </si>
  <si>
    <t>저축</t>
  </si>
  <si>
    <t>고정지출</t>
  </si>
  <si>
    <t>분배 합계</t>
  </si>
  <si>
    <r>
      <rPr>
        <b/>
        <sz val="11"/>
        <color rgb="FFFFFFFF"/>
        <rFont val="DejaVu Sans"/>
        <family val="2"/>
      </rPr>
      <t xml:space="preserve">▶ 생활비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남는 돈</t>
    </r>
    <r>
      <rPr>
        <b/>
        <sz val="11"/>
        <color rgb="FFFFFFFF"/>
        <rFont val="DejaVu Sans"/>
        <family val="2"/>
        <charset val="1"/>
      </rPr>
      <t>)</t>
    </r>
  </si>
  <si>
    <t>수입 섹션 합계</t>
  </si>
  <si>
    <r>
      <rPr>
        <b/>
        <sz val="10"/>
        <color rgb="FF000000"/>
        <rFont val="Arial"/>
        <family val="2"/>
      </rPr>
      <t xml:space="preserve">(-) </t>
    </r>
    <r>
      <rPr>
        <b/>
        <sz val="10"/>
        <color rgb="FF000000"/>
        <rFont val="DejaVu Sans"/>
        <family val="2"/>
      </rPr>
      <t>분배 합계</t>
    </r>
  </si>
  <si>
    <t>월급분배 섹션 합계</t>
  </si>
  <si>
    <t>🏠 생활비</t>
  </si>
  <si>
    <t>자유롭게 사용 가능한 금액</t>
  </si>
  <si>
    <t>▶ 분류별 종합 요약</t>
  </si>
  <si>
    <t>합계 금액</t>
  </si>
  <si>
    <t>월급 대비 비율</t>
  </si>
  <si>
    <t>항목 수</t>
  </si>
  <si>
    <r>
      <rPr>
        <sz val="10"/>
        <color rgb="FF888888"/>
        <rFont val="DejaVu Sans"/>
        <family val="2"/>
      </rPr>
      <t xml:space="preserve">입력된 </t>
    </r>
    <r>
      <rPr>
        <sz val="10"/>
        <color rgb="FF888888"/>
        <rFont val="DejaVu Sans"/>
        <family val="2"/>
        <charset val="1"/>
      </rPr>
      <t>'</t>
    </r>
    <r>
      <rPr>
        <sz val="10"/>
        <color rgb="FF888888"/>
        <rFont val="DejaVu Sans"/>
        <family val="2"/>
      </rPr>
      <t>저축</t>
    </r>
    <r>
      <rPr>
        <sz val="10"/>
        <color rgb="FF888888"/>
        <rFont val="DejaVu Sans"/>
        <family val="2"/>
        <charset val="1"/>
      </rPr>
      <t xml:space="preserve">' </t>
    </r>
    <r>
      <rPr>
        <sz val="10"/>
        <color rgb="FF888888"/>
        <rFont val="DejaVu Sans"/>
        <family val="2"/>
      </rPr>
      <t>항목 자동 집계</t>
    </r>
  </si>
  <si>
    <r>
      <rPr>
        <sz val="10"/>
        <color rgb="FF888888"/>
        <rFont val="DejaVu Sans"/>
        <family val="2"/>
      </rPr>
      <t xml:space="preserve">입력된 </t>
    </r>
    <r>
      <rPr>
        <sz val="10"/>
        <color rgb="FF888888"/>
        <rFont val="DejaVu Sans"/>
        <family val="2"/>
        <charset val="1"/>
      </rPr>
      <t>'</t>
    </r>
    <r>
      <rPr>
        <sz val="10"/>
        <color rgb="FF888888"/>
        <rFont val="DejaVu Sans"/>
        <family val="2"/>
      </rPr>
      <t>투자</t>
    </r>
    <r>
      <rPr>
        <sz val="10"/>
        <color rgb="FF888888"/>
        <rFont val="DejaVu Sans"/>
        <family val="2"/>
        <charset val="1"/>
      </rPr>
      <t xml:space="preserve">' </t>
    </r>
    <r>
      <rPr>
        <sz val="10"/>
        <color rgb="FF888888"/>
        <rFont val="DejaVu Sans"/>
        <family val="2"/>
      </rPr>
      <t>항목 자동 집계</t>
    </r>
  </si>
  <si>
    <r>
      <rPr>
        <sz val="10"/>
        <color rgb="FF888888"/>
        <rFont val="DejaVu Sans"/>
        <family val="2"/>
      </rPr>
      <t xml:space="preserve">입력된 </t>
    </r>
    <r>
      <rPr>
        <sz val="10"/>
        <color rgb="FF888888"/>
        <rFont val="DejaVu Sans"/>
        <family val="2"/>
        <charset val="1"/>
      </rPr>
      <t>'</t>
    </r>
    <r>
      <rPr>
        <sz val="10"/>
        <color rgb="FF888888"/>
        <rFont val="DejaVu Sans"/>
        <family val="2"/>
      </rPr>
      <t>고정지출</t>
    </r>
    <r>
      <rPr>
        <sz val="10"/>
        <color rgb="FF888888"/>
        <rFont val="DejaVu Sans"/>
        <family val="2"/>
        <charset val="1"/>
      </rPr>
      <t xml:space="preserve">' </t>
    </r>
    <r>
      <rPr>
        <sz val="10"/>
        <color rgb="FF888888"/>
        <rFont val="DejaVu Sans"/>
        <family val="2"/>
      </rPr>
      <t>항목 자동 집계</t>
    </r>
  </si>
  <si>
    <r>
      <rPr>
        <b/>
        <sz val="10"/>
        <color rgb="FF000000"/>
        <rFont val="DejaVu Sans"/>
        <family val="2"/>
      </rPr>
      <t xml:space="preserve">기타 </t>
    </r>
    <r>
      <rPr>
        <b/>
        <sz val="10"/>
        <color rgb="FF000000"/>
        <rFont val="DejaVu Sans"/>
        <family val="2"/>
        <charset val="1"/>
      </rPr>
      <t xml:space="preserve">/ </t>
    </r>
    <r>
      <rPr>
        <b/>
        <sz val="10"/>
        <color rgb="FF000000"/>
        <rFont val="DejaVu Sans"/>
        <family val="2"/>
      </rPr>
      <t>미분류</t>
    </r>
  </si>
  <si>
    <r>
      <rPr>
        <sz val="10"/>
        <color rgb="FF888888"/>
        <rFont val="DejaVu Sans"/>
        <family val="2"/>
      </rPr>
      <t>저축</t>
    </r>
    <r>
      <rPr>
        <sz val="10"/>
        <color rgb="FF888888"/>
        <rFont val="DejaVu Sans"/>
        <family val="2"/>
        <charset val="1"/>
      </rPr>
      <t>/</t>
    </r>
    <r>
      <rPr>
        <sz val="10"/>
        <color rgb="FF888888"/>
        <rFont val="DejaVu Sans"/>
        <family val="2"/>
      </rPr>
      <t>투자</t>
    </r>
    <r>
      <rPr>
        <sz val="10"/>
        <color rgb="FF888888"/>
        <rFont val="DejaVu Sans"/>
        <family val="2"/>
        <charset val="1"/>
      </rPr>
      <t>/</t>
    </r>
    <r>
      <rPr>
        <sz val="10"/>
        <color rgb="FF888888"/>
        <rFont val="DejaVu Sans"/>
        <family val="2"/>
      </rPr>
      <t>고정지출 외 항목</t>
    </r>
  </si>
  <si>
    <t>생활비</t>
  </si>
  <si>
    <t>남은 생활비</t>
  </si>
  <si>
    <t>합계</t>
  </si>
  <si>
    <r>
      <rPr>
        <i/>
        <sz val="9"/>
        <color rgb="FF666666"/>
        <rFont val="DejaVu Sans"/>
        <family val="2"/>
      </rPr>
      <t xml:space="preserve">※ 파란색 셀에 직접 입력  </t>
    </r>
    <r>
      <rPr>
        <i/>
        <sz val="9"/>
        <color rgb="FF666666"/>
        <rFont val="DejaVu Sans"/>
        <family val="2"/>
        <charset val="1"/>
      </rPr>
      <t xml:space="preserve">|  </t>
    </r>
    <r>
      <rPr>
        <i/>
        <sz val="9"/>
        <color rgb="FF666666"/>
        <rFont val="DejaVu Sans"/>
        <family val="2"/>
      </rPr>
      <t>분배 항목 분류에 저축</t>
    </r>
    <r>
      <rPr>
        <i/>
        <sz val="9"/>
        <color rgb="FF666666"/>
        <rFont val="DejaVu Sans"/>
        <family val="2"/>
        <charset val="1"/>
      </rPr>
      <t>/</t>
    </r>
    <r>
      <rPr>
        <i/>
        <sz val="9"/>
        <color rgb="FF666666"/>
        <rFont val="DejaVu Sans"/>
        <family val="2"/>
      </rPr>
      <t>투자</t>
    </r>
    <r>
      <rPr>
        <i/>
        <sz val="9"/>
        <color rgb="FF666666"/>
        <rFont val="DejaVu Sans"/>
        <family val="2"/>
        <charset val="1"/>
      </rPr>
      <t>/</t>
    </r>
    <r>
      <rPr>
        <i/>
        <sz val="9"/>
        <color rgb="FF666666"/>
        <rFont val="DejaVu Sans"/>
        <family val="2"/>
      </rPr>
      <t xml:space="preserve">고정지출 입력 시 요약 자동 반영  </t>
    </r>
    <r>
      <rPr>
        <i/>
        <sz val="9"/>
        <color rgb="FF666666"/>
        <rFont val="DejaVu Sans"/>
        <family val="2"/>
        <charset val="1"/>
      </rPr>
      <t xml:space="preserve">|  </t>
    </r>
    <r>
      <rPr>
        <i/>
        <sz val="9"/>
        <color rgb="FF666666"/>
        <rFont val="DejaVu Sans"/>
        <family val="2"/>
      </rPr>
      <t>분류명은 임의로 추가 가능</t>
    </r>
  </si>
  <si>
    <t>🛒 위시리스트</t>
  </si>
  <si>
    <t>▶ 사고 싶은 것 목록</t>
  </si>
  <si>
    <t>번호</t>
  </si>
  <si>
    <t>예상 금액</t>
  </si>
  <si>
    <t>카테고리</t>
  </si>
  <si>
    <t>우선순위</t>
  </si>
  <si>
    <t>메모</t>
  </si>
  <si>
    <t>전자기기</t>
  </si>
  <si>
    <t>높음</t>
  </si>
  <si>
    <t>총 희망 금액</t>
  </si>
  <si>
    <t>생활비 대비 비율</t>
  </si>
  <si>
    <r>
      <rPr>
        <sz val="10"/>
        <color rgb="FF888888"/>
        <rFont val="DejaVu Sans"/>
        <family val="2"/>
      </rPr>
      <t xml:space="preserve">총 희망 금액 </t>
    </r>
    <r>
      <rPr>
        <sz val="10"/>
        <color rgb="FF888888"/>
        <rFont val="DejaVu Sans"/>
        <family val="2"/>
        <charset val="1"/>
      </rPr>
      <t xml:space="preserve">/ </t>
    </r>
    <r>
      <rPr>
        <sz val="10"/>
        <color rgb="FF888888"/>
        <rFont val="DejaVu Sans"/>
        <family val="2"/>
      </rPr>
      <t>생활비</t>
    </r>
  </si>
  <si>
    <r>
      <rPr>
        <i/>
        <sz val="9"/>
        <color rgb="FF666666"/>
        <rFont val="DejaVu Sans"/>
        <family val="2"/>
      </rPr>
      <t>※ 항목</t>
    </r>
    <r>
      <rPr>
        <i/>
        <sz val="9"/>
        <color rgb="FF666666"/>
        <rFont val="DejaVu Sans"/>
        <family val="2"/>
        <charset val="1"/>
      </rPr>
      <t xml:space="preserve">, </t>
    </r>
    <r>
      <rPr>
        <i/>
        <sz val="9"/>
        <color rgb="FF666666"/>
        <rFont val="DejaVu Sans"/>
        <family val="2"/>
      </rPr>
      <t>예상금액</t>
    </r>
    <r>
      <rPr>
        <i/>
        <sz val="9"/>
        <color rgb="FF666666"/>
        <rFont val="DejaVu Sans"/>
        <family val="2"/>
        <charset val="1"/>
      </rPr>
      <t xml:space="preserve">, </t>
    </r>
    <r>
      <rPr>
        <i/>
        <sz val="9"/>
        <color rgb="FF666666"/>
        <rFont val="DejaVu Sans"/>
        <family val="2"/>
      </rPr>
      <t>카테고리</t>
    </r>
    <r>
      <rPr>
        <i/>
        <sz val="9"/>
        <color rgb="FF666666"/>
        <rFont val="DejaVu Sans"/>
        <family val="2"/>
        <charset val="1"/>
      </rPr>
      <t xml:space="preserve">, </t>
    </r>
    <r>
      <rPr>
        <i/>
        <sz val="9"/>
        <color rgb="FF666666"/>
        <rFont val="DejaVu Sans"/>
        <family val="2"/>
      </rPr>
      <t>우선순위를 입력하세요</t>
    </r>
    <r>
      <rPr>
        <i/>
        <sz val="9"/>
        <color rgb="FF666666"/>
        <rFont val="DejaVu Sans"/>
        <family val="2"/>
        <charset val="1"/>
      </rPr>
      <t xml:space="preserve">. </t>
    </r>
    <r>
      <rPr>
        <i/>
        <sz val="9"/>
        <color rgb="FF666666"/>
        <rFont val="DejaVu Sans"/>
        <family val="2"/>
      </rPr>
      <t xml:space="preserve">총 </t>
    </r>
    <r>
      <rPr>
        <i/>
        <sz val="9"/>
        <color rgb="FF666666"/>
        <rFont val="DejaVu Sans"/>
        <family val="2"/>
        <charset val="1"/>
      </rPr>
      <t>30</t>
    </r>
    <r>
      <rPr>
        <i/>
        <sz val="9"/>
        <color rgb="FF666666"/>
        <rFont val="DejaVu Sans"/>
        <family val="2"/>
      </rPr>
      <t>개 항목 작성 가능</t>
    </r>
    <r>
      <rPr>
        <i/>
        <sz val="9"/>
        <color rgb="FF666666"/>
        <rFont val="DejaVu Sans"/>
        <family val="2"/>
        <charset val="1"/>
      </rPr>
      <t>.</t>
    </r>
  </si>
  <si>
    <r>
      <rPr>
        <b/>
        <sz val="16"/>
        <color rgb="FF1F3864"/>
        <rFont val="DejaVu Sans"/>
        <family val="2"/>
      </rPr>
      <t xml:space="preserve">📊 생활비 예산 </t>
    </r>
    <r>
      <rPr>
        <b/>
        <sz val="16"/>
        <color rgb="FF1F3864"/>
        <rFont val="Arial"/>
        <family val="2"/>
      </rPr>
      <t xml:space="preserve">vs </t>
    </r>
    <r>
      <rPr>
        <b/>
        <sz val="16"/>
        <color rgb="FF1F3864"/>
        <rFont val="DejaVu Sans"/>
        <family val="2"/>
      </rPr>
      <t>실지출</t>
    </r>
  </si>
  <si>
    <t>▶ 월 생활비 기준 및 예산 설정</t>
  </si>
  <si>
    <r>
      <rPr>
        <b/>
        <sz val="10"/>
        <color rgb="FF000000"/>
        <rFont val="DejaVu Sans"/>
        <family val="2"/>
      </rPr>
      <t xml:space="preserve">이번 달 생활비 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DejaVu Sans"/>
        <family val="2"/>
      </rPr>
      <t>월급분배기 연동</t>
    </r>
    <r>
      <rPr>
        <b/>
        <sz val="10"/>
        <color rgb="FF000000"/>
        <rFont val="Arial"/>
        <family val="2"/>
      </rPr>
      <t>)</t>
    </r>
  </si>
  <si>
    <t>자동 연동</t>
  </si>
  <si>
    <r>
      <rPr>
        <b/>
        <sz val="11"/>
        <color rgb="FFFFFFFF"/>
        <rFont val="DejaVu Sans"/>
        <family val="2"/>
      </rPr>
      <t xml:space="preserve">▶ 카테고리별 예산 </t>
    </r>
    <r>
      <rPr>
        <b/>
        <sz val="11"/>
        <color rgb="FFFFFFFF"/>
        <rFont val="Arial"/>
        <family val="2"/>
      </rPr>
      <t xml:space="preserve">vs </t>
    </r>
    <r>
      <rPr>
        <b/>
        <sz val="11"/>
        <color rgb="FFFFFFFF"/>
        <rFont val="DejaVu Sans"/>
        <family val="2"/>
      </rPr>
      <t>실지출</t>
    </r>
  </si>
  <si>
    <t>예산</t>
  </si>
  <si>
    <t>실지출</t>
  </si>
  <si>
    <t>잔여</t>
  </si>
  <si>
    <t>사용률</t>
  </si>
  <si>
    <t>상태</t>
  </si>
  <si>
    <t>🍚 식비</t>
  </si>
  <si>
    <r>
      <rPr>
        <sz val="10"/>
        <color rgb="FF000000"/>
        <rFont val="DejaVu Sans"/>
        <family val="2"/>
      </rPr>
      <t>☕ 카페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  <family val="2"/>
      </rPr>
      <t>음료</t>
    </r>
  </si>
  <si>
    <t>🚇 교통비</t>
  </si>
  <si>
    <r>
      <rPr>
        <sz val="10"/>
        <color rgb="FF000000"/>
        <rFont val="DejaVu Sans"/>
        <family val="2"/>
      </rPr>
      <t>🏥 의료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  <family val="2"/>
      </rPr>
      <t>건강</t>
    </r>
  </si>
  <si>
    <r>
      <rPr>
        <sz val="10"/>
        <color rgb="FF000000"/>
        <rFont val="DejaVu Sans"/>
        <family val="2"/>
      </rPr>
      <t>👕 쇼핑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  <family val="2"/>
      </rPr>
      <t>의류</t>
    </r>
  </si>
  <si>
    <r>
      <rPr>
        <sz val="10"/>
        <color rgb="FF000000"/>
        <rFont val="DejaVu Sans"/>
        <family val="2"/>
      </rPr>
      <t>🎮 여가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  <family val="2"/>
      </rPr>
      <t>취미</t>
    </r>
  </si>
  <si>
    <r>
      <rPr>
        <sz val="10"/>
        <color rgb="FF000000"/>
        <rFont val="DejaVu Sans"/>
        <family val="2"/>
      </rPr>
      <t>🍺 외식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  <family val="2"/>
      </rPr>
      <t>술</t>
    </r>
  </si>
  <si>
    <t>📦 생활용품</t>
  </si>
  <si>
    <t>📱 통신비</t>
  </si>
  <si>
    <t>🎓 자기계발</t>
  </si>
  <si>
    <r>
      <rPr>
        <sz val="10"/>
        <color rgb="FF000000"/>
        <rFont val="DejaVu Sans"/>
        <family val="2"/>
      </rPr>
      <t>✈️ 여행</t>
    </r>
    <r>
      <rPr>
        <sz val="10"/>
        <color rgb="FF000000"/>
        <rFont val="Arial"/>
        <family val="2"/>
      </rPr>
      <t>/</t>
    </r>
    <r>
      <rPr>
        <sz val="10"/>
        <color rgb="FF000000"/>
        <rFont val="DejaVu Sans"/>
        <family val="2"/>
      </rPr>
      <t>나들이</t>
    </r>
  </si>
  <si>
    <t>💊 기타</t>
  </si>
  <si>
    <r>
      <rPr>
        <i/>
        <sz val="9"/>
        <color rgb="FF666666"/>
        <rFont val="Arial"/>
        <family val="2"/>
      </rPr>
      <t>※ D</t>
    </r>
    <r>
      <rPr>
        <i/>
        <sz val="9"/>
        <color rgb="FF666666"/>
        <rFont val="DejaVu Sans"/>
        <family val="2"/>
      </rPr>
      <t>열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DejaVu Sans"/>
        <family val="2"/>
      </rPr>
      <t>실지출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DejaVu Sans"/>
        <family val="2"/>
      </rPr>
      <t>에 이번 달 실제 지출을 입력하세요</t>
    </r>
    <r>
      <rPr>
        <i/>
        <sz val="9"/>
        <color rgb="FF666666"/>
        <rFont val="Arial"/>
        <family val="2"/>
      </rPr>
      <t>.  C</t>
    </r>
    <r>
      <rPr>
        <i/>
        <sz val="9"/>
        <color rgb="FF666666"/>
        <rFont val="DejaVu Sans"/>
        <family val="2"/>
      </rPr>
      <t>열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DejaVu Sans"/>
        <family val="2"/>
      </rPr>
      <t>예산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DejaVu Sans"/>
        <family val="2"/>
      </rPr>
      <t>은 수정 가능합니다</t>
    </r>
    <r>
      <rPr>
        <i/>
        <sz val="9"/>
        <color rgb="FF666666"/>
        <rFont val="Arial"/>
        <family val="2"/>
      </rPr>
      <t>.</t>
    </r>
  </si>
  <si>
    <t>🎯 연간 저축 목표 트래커</t>
  </si>
  <si>
    <t>▶ 목표 설정</t>
  </si>
  <si>
    <t>저축 항목</t>
  </si>
  <si>
    <t>연간 목표</t>
  </si>
  <si>
    <t>월 목표</t>
  </si>
  <si>
    <t>현재 누적</t>
  </si>
  <si>
    <t>달성률</t>
  </si>
  <si>
    <t>달성까지 남은 금액</t>
  </si>
  <si>
    <t>예상 달성 월</t>
  </si>
  <si>
    <t>비상금</t>
  </si>
  <si>
    <t>여행 자금</t>
  </si>
  <si>
    <t>투자 목표</t>
  </si>
  <si>
    <t>목돈 마련</t>
  </si>
  <si>
    <r>
      <rPr>
        <sz val="10"/>
        <color rgb="FF0000FF"/>
        <rFont val="DejaVu Sans"/>
        <family val="2"/>
      </rPr>
      <t xml:space="preserve">기타 목표 </t>
    </r>
    <r>
      <rPr>
        <sz val="10"/>
        <color rgb="FF0000FF"/>
        <rFont val="Arial"/>
        <family val="2"/>
      </rPr>
      <t>1</t>
    </r>
  </si>
  <si>
    <r>
      <rPr>
        <sz val="10"/>
        <color rgb="FF0000FF"/>
        <rFont val="DejaVu Sans"/>
        <family val="2"/>
      </rPr>
      <t xml:space="preserve">기타 목표 </t>
    </r>
    <r>
      <rPr>
        <sz val="10"/>
        <color rgb="FF0000FF"/>
        <rFont val="Arial"/>
        <family val="2"/>
      </rPr>
      <t>2</t>
    </r>
  </si>
  <si>
    <r>
      <rPr>
        <b/>
        <sz val="11"/>
        <color rgb="FFFFFFFF"/>
        <rFont val="DejaVu Sans"/>
        <family val="2"/>
      </rPr>
      <t xml:space="preserve">▶ 월별 저축 기록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실적 입력</t>
    </r>
    <r>
      <rPr>
        <b/>
        <sz val="11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</si>
  <si>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</si>
  <si>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</si>
  <si>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</si>
  <si>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</si>
  <si>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</si>
  <si>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6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</si>
  <si>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7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</si>
  <si>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8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</si>
  <si>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9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</si>
  <si>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10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</si>
  <si>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11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</si>
  <si>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family val="2"/>
      </rPr>
      <t>12</t>
    </r>
    <r>
      <rPr>
        <b/>
        <sz val="10"/>
        <color rgb="FFFFFFFF"/>
        <rFont val="DejaVu Sans"/>
        <family val="2"/>
      </rPr>
      <t>월</t>
    </r>
  </si>
  <si>
    <r>
      <rPr>
        <sz val="9"/>
        <color rgb="FF000000"/>
        <rFont val="DejaVu Sans"/>
        <family val="2"/>
      </rPr>
      <t xml:space="preserve">비상금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상반기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</si>
  <si>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비상금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하반기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</si>
  <si>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여행 자금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상반기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</si>
  <si>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여행 자금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하반기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</si>
  <si>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투자 목표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상반기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</si>
  <si>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투자 목표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하반기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</si>
  <si>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목돈 마련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상반기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</si>
  <si>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목돈 마련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하반기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</si>
  <si>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기타 목표 </t>
    </r>
    <r>
      <rPr>
        <sz val="9"/>
        <color rgb="FF000000"/>
        <rFont val="Arial"/>
        <family val="2"/>
      </rPr>
      <t>1 (</t>
    </r>
    <r>
      <rPr>
        <sz val="9"/>
        <color rgb="FF000000"/>
        <rFont val="DejaVu Sans"/>
        <family val="2"/>
      </rPr>
      <t>상반기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</si>
  <si>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기타 목표 </t>
    </r>
    <r>
      <rPr>
        <sz val="9"/>
        <color rgb="FF000000"/>
        <rFont val="Arial"/>
        <family val="2"/>
      </rPr>
      <t>1 (</t>
    </r>
    <r>
      <rPr>
        <sz val="9"/>
        <color rgb="FF000000"/>
        <rFont val="DejaVu Sans"/>
        <family val="2"/>
      </rPr>
      <t>하반기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</si>
  <si>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기타 목표 </t>
    </r>
    <r>
      <rPr>
        <sz val="9"/>
        <color rgb="FF000000"/>
        <rFont val="Arial"/>
        <family val="2"/>
      </rPr>
      <t>2 (</t>
    </r>
    <r>
      <rPr>
        <sz val="9"/>
        <color rgb="FF000000"/>
        <rFont val="DejaVu Sans"/>
        <family val="2"/>
      </rPr>
      <t>상반기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</si>
  <si>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기타 목표 </t>
    </r>
    <r>
      <rPr>
        <sz val="9"/>
        <color rgb="FF000000"/>
        <rFont val="Arial"/>
        <family val="2"/>
      </rPr>
      <t>2 (</t>
    </r>
    <r>
      <rPr>
        <sz val="9"/>
        <color rgb="FF000000"/>
        <rFont val="DejaVu Sans"/>
        <family val="2"/>
      </rPr>
      <t>하반기</t>
    </r>
    <r>
      <rPr>
        <sz val="9"/>
        <color rgb="FF000000"/>
        <rFont val="Arial"/>
        <family val="2"/>
      </rPr>
      <t>)</t>
    </r>
  </si>
  <si>
    <r>
      <rPr>
        <i/>
        <sz val="9"/>
        <color rgb="FF666666"/>
        <rFont val="Arial"/>
        <family val="2"/>
      </rPr>
      <t>※ E</t>
    </r>
    <r>
      <rPr>
        <i/>
        <sz val="9"/>
        <color rgb="FF666666"/>
        <rFont val="DejaVu Sans"/>
        <family val="2"/>
      </rPr>
      <t>열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DejaVu Sans"/>
        <family val="2"/>
      </rPr>
      <t>현재 누적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DejaVu Sans"/>
        <family val="2"/>
      </rPr>
      <t>과 월별 기록은 직접 입력하세요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DejaVu Sans"/>
        <family val="2"/>
      </rPr>
      <t>목표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DejaVu Sans"/>
        <family val="2"/>
      </rPr>
      <t>달성률은 자동 계산됩니다</t>
    </r>
    <r>
      <rPr>
        <i/>
        <sz val="9"/>
        <color rgb="FF666666"/>
        <rFont val="Arial"/>
        <family val="2"/>
      </rPr>
      <t>.</t>
    </r>
  </si>
  <si>
    <t>💎 순자산 트래커</t>
  </si>
  <si>
    <r>
      <rPr>
        <b/>
        <sz val="11"/>
        <color rgb="FFFFFFFF"/>
        <rFont val="DejaVu Sans"/>
        <family val="2"/>
      </rPr>
      <t xml:space="preserve">▶ 자산 </t>
    </r>
    <r>
      <rPr>
        <b/>
        <sz val="11"/>
        <color rgb="FFFFFFFF"/>
        <rFont val="Arial"/>
        <family val="2"/>
      </rPr>
      <t>(Assets)</t>
    </r>
  </si>
  <si>
    <r>
      <rPr>
        <sz val="10"/>
        <color rgb="FF000000"/>
        <rFont val="DejaVu Sans"/>
        <family val="2"/>
      </rPr>
      <t xml:space="preserve">현금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DejaVu Sans"/>
        <family val="2"/>
      </rPr>
      <t>수시입출금</t>
    </r>
  </si>
  <si>
    <r>
      <rPr>
        <sz val="10"/>
        <color rgb="FF000000"/>
        <rFont val="DejaVu Sans"/>
        <family val="2"/>
      </rPr>
      <t xml:space="preserve">예금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DejaVu Sans"/>
        <family val="2"/>
      </rPr>
      <t>적금</t>
    </r>
  </si>
  <si>
    <r>
      <rPr>
        <sz val="10"/>
        <color rgb="FF000000"/>
        <rFont val="DejaVu Sans"/>
        <family val="2"/>
      </rPr>
      <t xml:space="preserve">국내 주식 </t>
    </r>
    <r>
      <rPr>
        <sz val="10"/>
        <color rgb="FF000000"/>
        <rFont val="Arial"/>
        <family val="2"/>
      </rPr>
      <t>/ ETF</t>
    </r>
  </si>
  <si>
    <r>
      <rPr>
        <sz val="10"/>
        <color rgb="FF000000"/>
        <rFont val="DejaVu Sans"/>
        <family val="2"/>
      </rPr>
      <t xml:space="preserve">해외 주식 </t>
    </r>
    <r>
      <rPr>
        <sz val="10"/>
        <color rgb="FF000000"/>
        <rFont val="Arial"/>
        <family val="2"/>
      </rPr>
      <t>/ ETF</t>
    </r>
  </si>
  <si>
    <r>
      <rPr>
        <sz val="10"/>
        <color rgb="FF000000"/>
        <rFont val="DejaVu Sans"/>
        <family val="2"/>
      </rPr>
      <t xml:space="preserve">연금저축 </t>
    </r>
    <r>
      <rPr>
        <sz val="10"/>
        <color rgb="FF000000"/>
        <rFont val="Arial"/>
        <family val="2"/>
      </rPr>
      <t>/ IRP</t>
    </r>
  </si>
  <si>
    <r>
      <rPr>
        <sz val="10"/>
        <color rgb="FF000000"/>
        <rFont val="DejaVu Sans"/>
        <family val="2"/>
      </rPr>
      <t xml:space="preserve">부동산 </t>
    </r>
    <r>
      <rPr>
        <sz val="10"/>
        <color rgb="FF000000"/>
        <rFont val="Arial"/>
        <family val="2"/>
      </rPr>
      <t>(</t>
    </r>
    <r>
      <rPr>
        <sz val="10"/>
        <color rgb="FF000000"/>
        <rFont val="DejaVu Sans"/>
        <family val="2"/>
      </rPr>
      <t>시세</t>
    </r>
    <r>
      <rPr>
        <sz val="10"/>
        <color rgb="FF000000"/>
        <rFont val="Arial"/>
        <family val="2"/>
      </rPr>
      <t>)</t>
    </r>
  </si>
  <si>
    <t>기타 자산</t>
  </si>
  <si>
    <t>자산 합계</t>
  </si>
  <si>
    <r>
      <rPr>
        <b/>
        <sz val="11"/>
        <color rgb="FFFFFFFF"/>
        <rFont val="DejaVu Sans"/>
        <family val="2"/>
      </rPr>
      <t xml:space="preserve">▶ 부채 </t>
    </r>
    <r>
      <rPr>
        <b/>
        <sz val="11"/>
        <color rgb="FFFFFFFF"/>
        <rFont val="Arial"/>
        <family val="2"/>
      </rPr>
      <t>(Liabilities)</t>
    </r>
  </si>
  <si>
    <t>잔액</t>
  </si>
  <si>
    <t>금리</t>
  </si>
  <si>
    <t>월 상환액</t>
  </si>
  <si>
    <t>학자금 대출</t>
  </si>
  <si>
    <t>신용 대출</t>
  </si>
  <si>
    <t>전세 대출</t>
  </si>
  <si>
    <t>자동차 할부</t>
  </si>
  <si>
    <t>카드 미결제</t>
  </si>
  <si>
    <t>기타 부채</t>
  </si>
  <si>
    <t>부채 합계</t>
  </si>
  <si>
    <r>
      <rPr>
        <b/>
        <sz val="11"/>
        <color rgb="FFFFFFFF"/>
        <rFont val="DejaVu Sans"/>
        <family val="2"/>
      </rPr>
      <t xml:space="preserve">▶ 순자산 </t>
    </r>
    <r>
      <rPr>
        <b/>
        <sz val="11"/>
        <color rgb="FFFFFFFF"/>
        <rFont val="Arial"/>
        <family val="2"/>
      </rPr>
      <t>(Net Worth)</t>
    </r>
  </si>
  <si>
    <t>💰 순자산</t>
  </si>
  <si>
    <t>자산 대비 부채 비율</t>
  </si>
  <si>
    <r>
      <rPr>
        <i/>
        <sz val="9"/>
        <color rgb="FF666666"/>
        <rFont val="DejaVu Sans"/>
        <family val="2"/>
      </rPr>
      <t>※ 각 항목에 현재 잔액을 입력하세요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DejaVu Sans"/>
        <family val="2"/>
      </rPr>
      <t xml:space="preserve">순자산 </t>
    </r>
    <r>
      <rPr>
        <i/>
        <sz val="9"/>
        <color rgb="FF666666"/>
        <rFont val="Arial"/>
        <family val="2"/>
      </rPr>
      <t xml:space="preserve">= </t>
    </r>
    <r>
      <rPr>
        <i/>
        <sz val="9"/>
        <color rgb="FF666666"/>
        <rFont val="DejaVu Sans"/>
        <family val="2"/>
      </rPr>
      <t xml:space="preserve">자산 합계 </t>
    </r>
    <r>
      <rPr>
        <i/>
        <sz val="9"/>
        <color rgb="FF666666"/>
        <rFont val="Arial"/>
        <family val="2"/>
      </rPr>
      <t xml:space="preserve">- </t>
    </r>
    <r>
      <rPr>
        <i/>
        <sz val="9"/>
        <color rgb="FF666666"/>
        <rFont val="DejaVu Sans"/>
        <family val="2"/>
      </rPr>
      <t>부채 합계</t>
    </r>
  </si>
  <si>
    <r>
      <rPr>
        <b/>
        <sz val="16"/>
        <color rgb="FF1F3864"/>
        <rFont val="Arial"/>
        <family val="2"/>
      </rPr>
      <t xml:space="preserve">🔍 50-30-20 </t>
    </r>
    <r>
      <rPr>
        <b/>
        <sz val="16"/>
        <color rgb="FF1F3864"/>
        <rFont val="DejaVu Sans"/>
        <family val="2"/>
      </rPr>
      <t>재무 진단</t>
    </r>
  </si>
  <si>
    <r>
      <rPr>
        <i/>
        <sz val="10"/>
        <color rgb="FF555555"/>
        <rFont val="DejaVu Sans"/>
        <family val="2"/>
      </rPr>
      <t xml:space="preserve">세후 수입의 </t>
    </r>
    <r>
      <rPr>
        <i/>
        <sz val="10"/>
        <color rgb="FF555555"/>
        <rFont val="Arial"/>
        <family val="2"/>
      </rPr>
      <t>50%</t>
    </r>
    <r>
      <rPr>
        <i/>
        <sz val="10"/>
        <color rgb="FF555555"/>
        <rFont val="DejaVu Sans"/>
        <family val="2"/>
      </rPr>
      <t>는 필수지출</t>
    </r>
    <r>
      <rPr>
        <i/>
        <sz val="10"/>
        <color rgb="FF555555"/>
        <rFont val="Arial"/>
        <family val="2"/>
      </rPr>
      <t>, 30%</t>
    </r>
    <r>
      <rPr>
        <i/>
        <sz val="10"/>
        <color rgb="FF555555"/>
        <rFont val="DejaVu Sans"/>
        <family val="2"/>
      </rPr>
      <t>는 여가</t>
    </r>
    <r>
      <rPr>
        <i/>
        <sz val="10"/>
        <color rgb="FF555555"/>
        <rFont val="Arial"/>
        <family val="2"/>
      </rPr>
      <t>/</t>
    </r>
    <r>
      <rPr>
        <i/>
        <sz val="10"/>
        <color rgb="FF555555"/>
        <rFont val="DejaVu Sans"/>
        <family val="2"/>
      </rPr>
      <t>자기계발</t>
    </r>
    <r>
      <rPr>
        <i/>
        <sz val="10"/>
        <color rgb="FF555555"/>
        <rFont val="Arial"/>
        <family val="2"/>
      </rPr>
      <t>, 20%</t>
    </r>
    <r>
      <rPr>
        <i/>
        <sz val="10"/>
        <color rgb="FF555555"/>
        <rFont val="DejaVu Sans"/>
        <family val="2"/>
      </rPr>
      <t>는 저축</t>
    </r>
    <r>
      <rPr>
        <i/>
        <sz val="10"/>
        <color rgb="FF555555"/>
        <rFont val="Arial"/>
        <family val="2"/>
      </rPr>
      <t>/</t>
    </r>
    <r>
      <rPr>
        <i/>
        <sz val="10"/>
        <color rgb="FF555555"/>
        <rFont val="DejaVu Sans"/>
        <family val="2"/>
      </rPr>
      <t>투자로 배분하는 황금 비율 진단</t>
    </r>
  </si>
  <si>
    <t>▶ 기준 수입</t>
  </si>
  <si>
    <r>
      <rPr>
        <b/>
        <sz val="10"/>
        <color rgb="FF000000"/>
        <rFont val="DejaVu Sans"/>
        <family val="2"/>
      </rPr>
      <t xml:space="preserve">세후 수입 합계 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DejaVu Sans"/>
        <family val="2"/>
      </rPr>
      <t>월급분배기 연동</t>
    </r>
    <r>
      <rPr>
        <b/>
        <sz val="10"/>
        <color rgb="FF000000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</si>
  <si>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50-30-20 </t>
    </r>
    <r>
      <rPr>
        <b/>
        <sz val="11"/>
        <color rgb="FFFFFFFF"/>
        <rFont val="DejaVu Sans"/>
        <family val="2"/>
      </rPr>
      <t>비율 진단</t>
    </r>
  </si>
  <si>
    <t>구분</t>
  </si>
  <si>
    <t>기준 비율</t>
  </si>
  <si>
    <t>기준 금액</t>
  </si>
  <si>
    <t>실제 금액</t>
  </si>
  <si>
    <t>실제 비율</t>
  </si>
  <si>
    <t>평가</t>
  </si>
  <si>
    <r>
      <rPr>
        <b/>
        <sz val="10"/>
        <color rgb="FF000000"/>
        <rFont val="DejaVu Sans"/>
        <family val="2"/>
      </rPr>
      <t xml:space="preserve">🏠 필수지출 </t>
    </r>
    <r>
      <rPr>
        <b/>
        <sz val="10"/>
        <color rgb="FF000000"/>
        <rFont val="Arial"/>
        <family val="2"/>
      </rPr>
      <t>(50%)</t>
    </r>
  </si>
  <si>
    <r>
      <rPr>
        <b/>
        <sz val="10"/>
        <color rgb="FF000000"/>
        <rFont val="DejaVu Sans"/>
        <family val="2"/>
      </rPr>
      <t>🎮 여가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DejaVu Sans"/>
        <family val="2"/>
      </rPr>
      <t xml:space="preserve">자기계발 </t>
    </r>
    <r>
      <rPr>
        <b/>
        <sz val="10"/>
        <color rgb="FF000000"/>
        <rFont val="Arial"/>
        <family val="2"/>
      </rPr>
      <t>(30%)</t>
    </r>
  </si>
  <si>
    <r>
      <rPr>
        <b/>
        <sz val="10"/>
        <color rgb="FF000000"/>
        <rFont val="DejaVu Sans"/>
        <family val="2"/>
      </rPr>
      <t>💰 저축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DejaVu Sans"/>
        <family val="2"/>
      </rPr>
      <t xml:space="preserve">투자 </t>
    </r>
    <r>
      <rPr>
        <b/>
        <sz val="10"/>
        <color rgb="FF000000"/>
        <rFont val="Arial"/>
        <family val="2"/>
      </rPr>
      <t>(20%)</t>
    </r>
  </si>
  <si>
    <r>
      <rPr>
        <b/>
        <sz val="10"/>
        <color rgb="FF000000"/>
        <rFont val="DejaVu Sans"/>
        <family val="2"/>
      </rPr>
      <t xml:space="preserve">합계 </t>
    </r>
    <r>
      <rPr>
        <b/>
        <sz val="10"/>
        <color rgb="FF000000"/>
        <rFont val="Arial"/>
        <family val="2"/>
      </rPr>
      <t xml:space="preserve">/ </t>
    </r>
    <r>
      <rPr>
        <b/>
        <sz val="10"/>
        <color rgb="FF000000"/>
        <rFont val="DejaVu Sans"/>
        <family val="2"/>
      </rPr>
      <t>미배분</t>
    </r>
  </si>
  <si>
    <t>100%</t>
  </si>
  <si>
    <r>
      <rPr>
        <b/>
        <sz val="11"/>
        <color rgb="FFFFFFFF"/>
        <rFont val="Arial"/>
        <family val="2"/>
      </rPr>
      <t xml:space="preserve">▶ 50-30-20 </t>
    </r>
    <r>
      <rPr>
        <b/>
        <sz val="11"/>
        <color rgb="FFFFFFFF"/>
        <rFont val="DejaVu Sans"/>
        <family val="2"/>
      </rPr>
      <t>가이드</t>
    </r>
  </si>
  <si>
    <r>
      <rPr>
        <b/>
        <sz val="10"/>
        <color rgb="FF000000"/>
        <rFont val="DejaVu Sans"/>
        <family val="2"/>
      </rPr>
      <t xml:space="preserve">🏠 필수지출 </t>
    </r>
    <r>
      <rPr>
        <b/>
        <sz val="10"/>
        <color rgb="FF000000"/>
        <rFont val="Arial"/>
        <family val="2"/>
      </rPr>
      <t>50%</t>
    </r>
  </si>
  <si>
    <r>
      <rPr>
        <sz val="10"/>
        <color rgb="FF444444"/>
        <rFont val="DejaVu Sans"/>
        <family val="2"/>
      </rPr>
      <t>월세</t>
    </r>
    <r>
      <rPr>
        <sz val="10"/>
        <color rgb="FF444444"/>
        <rFont val="Arial"/>
        <family val="2"/>
      </rPr>
      <t>/</t>
    </r>
    <r>
      <rPr>
        <sz val="10"/>
        <color rgb="FF444444"/>
        <rFont val="DejaVu Sans"/>
        <family val="2"/>
      </rPr>
      <t>관리비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식비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교통비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의료비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보험료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통신비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공과금 등 생활을 유지하기 위해 반드시 지출해야 하는 항목</t>
    </r>
  </si>
  <si>
    <r>
      <rPr>
        <b/>
        <sz val="10"/>
        <color rgb="FF000000"/>
        <rFont val="DejaVu Sans"/>
        <family val="2"/>
      </rPr>
      <t>🎮 여가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DejaVu Sans"/>
        <family val="2"/>
      </rPr>
      <t xml:space="preserve">자기계발 </t>
    </r>
    <r>
      <rPr>
        <b/>
        <sz val="10"/>
        <color rgb="FF000000"/>
        <rFont val="Arial"/>
        <family val="2"/>
      </rPr>
      <t>30%</t>
    </r>
  </si>
  <si>
    <r>
      <rPr>
        <sz val="10"/>
        <color rgb="FF444444"/>
        <rFont val="DejaVu Sans"/>
        <family val="2"/>
      </rPr>
      <t>외식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카페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쇼핑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여행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게임</t>
    </r>
    <r>
      <rPr>
        <sz val="10"/>
        <color rgb="FF444444"/>
        <rFont val="Arial"/>
        <family val="2"/>
      </rPr>
      <t xml:space="preserve">/OTT </t>
    </r>
    <r>
      <rPr>
        <sz val="10"/>
        <color rgb="FF444444"/>
        <rFont val="DejaVu Sans"/>
        <family val="2"/>
      </rPr>
      <t>구독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자격증</t>
    </r>
    <r>
      <rPr>
        <sz val="10"/>
        <color rgb="FF444444"/>
        <rFont val="Arial"/>
        <family val="2"/>
      </rPr>
      <t>/</t>
    </r>
    <r>
      <rPr>
        <sz val="10"/>
        <color rgb="FF444444"/>
        <rFont val="DejaVu Sans"/>
        <family val="2"/>
      </rPr>
      <t>강의 등 삶의 질을 높이는 지출</t>
    </r>
  </si>
  <si>
    <r>
      <rPr>
        <b/>
        <sz val="10"/>
        <color rgb="FF000000"/>
        <rFont val="DejaVu Sans"/>
        <family val="2"/>
      </rPr>
      <t>💰 저축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DejaVu Sans"/>
        <family val="2"/>
      </rPr>
      <t xml:space="preserve">투자 </t>
    </r>
    <r>
      <rPr>
        <b/>
        <sz val="10"/>
        <color rgb="FF000000"/>
        <rFont val="Arial"/>
        <family val="2"/>
      </rPr>
      <t>20%</t>
    </r>
  </si>
  <si>
    <r>
      <rPr>
        <sz val="10"/>
        <color rgb="FF444444"/>
        <rFont val="DejaVu Sans"/>
        <family val="2"/>
      </rPr>
      <t>비상금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적금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주식</t>
    </r>
    <r>
      <rPr>
        <sz val="10"/>
        <color rgb="FF444444"/>
        <rFont val="Arial"/>
        <family val="2"/>
      </rPr>
      <t>/ETF, IRP/</t>
    </r>
    <r>
      <rPr>
        <sz val="10"/>
        <color rgb="FF444444"/>
        <rFont val="DejaVu Sans"/>
        <family val="2"/>
      </rPr>
      <t>연금저축 등 미래를 위한 자산 형성</t>
    </r>
  </si>
  <si>
    <r>
      <rPr>
        <i/>
        <sz val="9"/>
        <color rgb="FF666666"/>
        <rFont val="Arial"/>
        <family val="2"/>
      </rPr>
      <t>※ E</t>
    </r>
    <r>
      <rPr>
        <i/>
        <sz val="9"/>
        <color rgb="FF666666"/>
        <rFont val="DejaVu Sans"/>
        <family val="2"/>
      </rPr>
      <t>열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DejaVu Sans"/>
        <family val="2"/>
      </rPr>
      <t>실제 금액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DejaVu Sans"/>
        <family val="2"/>
      </rPr>
      <t>에 이번 달 해당 구분의 실지출을 입력하세요</t>
    </r>
    <r>
      <rPr>
        <i/>
        <sz val="9"/>
        <color rgb="FF666666"/>
        <rFont val="Arial"/>
        <family val="2"/>
      </rPr>
      <t xml:space="preserve">. 5% </t>
    </r>
    <r>
      <rPr>
        <i/>
        <sz val="9"/>
        <color rgb="FF666666"/>
        <rFont val="DejaVu Sans"/>
        <family val="2"/>
      </rPr>
      <t xml:space="preserve">이내 오차는 </t>
    </r>
    <r>
      <rPr>
        <i/>
        <sz val="9"/>
        <color rgb="FF666666"/>
        <rFont val="Arial"/>
        <family val="2"/>
      </rPr>
      <t>'</t>
    </r>
    <r>
      <rPr>
        <i/>
        <sz val="9"/>
        <color rgb="FF666666"/>
        <rFont val="DejaVu Sans"/>
        <family val="2"/>
      </rPr>
      <t>적정</t>
    </r>
    <r>
      <rPr>
        <i/>
        <sz val="9"/>
        <color rgb="FF666666"/>
        <rFont val="Arial"/>
        <family val="2"/>
      </rPr>
      <t>'</t>
    </r>
    <r>
      <rPr>
        <i/>
        <sz val="9"/>
        <color rgb="FF666666"/>
        <rFont val="DejaVu Sans"/>
        <family val="2"/>
      </rPr>
      <t>으로 판정합니다</t>
    </r>
    <r>
      <rPr>
        <i/>
        <sz val="9"/>
        <color rgb="FF666666"/>
        <rFont val="Arial"/>
        <family val="2"/>
      </rPr>
      <t>.</t>
    </r>
  </si>
  <si>
    <t>통신비</t>
    <phoneticPr fontId="36" type="noConversion"/>
  </si>
  <si>
    <t>교통비</t>
    <phoneticPr fontId="36" type="noConversion"/>
  </si>
  <si>
    <t>계모임</t>
    <phoneticPr fontId="36" type="noConversion"/>
  </si>
  <si>
    <t>고정지출</t>
    <phoneticPr fontId="36" type="noConversion"/>
  </si>
  <si>
    <t>거주비</t>
    <phoneticPr fontId="36" type="noConversion"/>
  </si>
  <si>
    <t>긱사비</t>
    <phoneticPr fontId="36" type="noConversion"/>
  </si>
  <si>
    <t>비상금</t>
    <phoneticPr fontId="36" type="noConversion"/>
  </si>
  <si>
    <t>보증금목표</t>
    <phoneticPr fontId="36" type="noConversion"/>
  </si>
  <si>
    <t>학자금대출</t>
    <phoneticPr fontId="36" type="noConversion"/>
  </si>
  <si>
    <t>데이트통장</t>
    <phoneticPr fontId="36" type="noConversion"/>
  </si>
  <si>
    <r>
      <t>26</t>
    </r>
    <r>
      <rPr>
        <sz val="11"/>
        <color theme="1"/>
        <rFont val="맑은 고딕"/>
        <family val="2"/>
        <charset val="129"/>
      </rPr>
      <t>일 자동이체</t>
    </r>
    <phoneticPr fontId="36" type="noConversion"/>
  </si>
  <si>
    <r>
      <t>26</t>
    </r>
    <r>
      <rPr>
        <sz val="11"/>
        <color theme="1"/>
        <rFont val="Malgun Gothic"/>
        <family val="2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Malgun Gothic"/>
        <family val="2"/>
        <charset val="129"/>
      </rPr>
      <t>자동이체</t>
    </r>
    <phoneticPr fontId="36" type="noConversion"/>
  </si>
  <si>
    <r>
      <t>1</t>
    </r>
    <r>
      <rPr>
        <sz val="11"/>
        <color theme="1"/>
        <rFont val="맑은 고딕"/>
        <family val="2"/>
        <charset val="129"/>
      </rPr>
      <t>일 자동이체</t>
    </r>
    <phoneticPr fontId="36" type="noConversion"/>
  </si>
  <si>
    <t>허브통장에 체류</t>
    <phoneticPr fontId="36" type="noConversion"/>
  </si>
  <si>
    <t>청년적금</t>
    <phoneticPr fontId="36" type="noConversion"/>
  </si>
  <si>
    <r>
      <rPr>
        <sz val="10"/>
        <color rgb="FF0000FF"/>
        <rFont val="맑은 고딕"/>
        <family val="3"/>
        <charset val="129"/>
      </rPr>
      <t>구독료</t>
    </r>
    <r>
      <rPr>
        <sz val="10"/>
        <color rgb="FF0000FF"/>
        <rFont val="DejaVu Sans"/>
        <family val="2"/>
      </rPr>
      <t>(쿠팡, 지피티, 헬스장)</t>
    </r>
    <phoneticPr fontId="36" type="noConversion"/>
  </si>
  <si>
    <t>저축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</si>
</sst>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0.0%;\(0.0%\);\-"/>
  </numFmts>
  <fonts count="43">
    <font>
      <sz val="11"/>
      <color theme="1"/>
      <name val="Calibri"/>
      <family val="2"/>
      <charset val="1"/>
    </font>
    <font>
      <b/>
      <sz val="16"/>
      <color rgb="FF1F3864"/>
      <name val="DejaVu Sans"/>
      <family val="2"/>
    </font>
    <font>
      <b/>
      <sz val="11"/>
      <color rgb="FFFFFFFF"/>
      <name val="DejaVu Sans"/>
      <family val="2"/>
    </font>
    <font>
      <b/>
      <sz val="10"/>
      <color rgb="FFFFFFFF"/>
      <name val="DejaVu Sans"/>
      <family val="2"/>
    </font>
    <font>
      <sz val="10"/>
      <color rgb="FF0000FF"/>
      <name val="DejaVu Sans"/>
      <family val="2"/>
    </font>
    <font>
      <sz val="10"/>
      <color rgb="FF0000FF"/>
      <name val="DejaVu Sans"/>
      <family val="2"/>
      <charset val="1"/>
    </font>
    <font>
      <sz val="10"/>
      <color rgb="FF000000"/>
      <name val="DejaVu Sans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888888"/>
      <name val="DejaVu Sans"/>
      <family val="2"/>
    </font>
    <font>
      <sz val="10"/>
      <color rgb="FF888888"/>
      <name val="Arial"/>
      <family val="2"/>
    </font>
    <font>
      <b/>
      <sz val="10"/>
      <color rgb="FF000000"/>
      <name val="DejaVu Sans"/>
      <family val="2"/>
    </font>
    <font>
      <b/>
      <sz val="10"/>
      <color rgb="FF000000"/>
      <name val="DejaVu Sans"/>
      <family val="2"/>
      <charset val="1"/>
    </font>
    <font>
      <b/>
      <sz val="10"/>
      <color rgb="FF000000"/>
      <name val="Arial"/>
      <family val="2"/>
    </font>
    <font>
      <b/>
      <sz val="11"/>
      <color rgb="FF000000"/>
      <name val="DejaVu Sans"/>
      <family val="2"/>
    </font>
    <font>
      <b/>
      <sz val="11"/>
      <color rgb="FFFFFFFF"/>
      <name val="DejaVu Sans"/>
      <family val="2"/>
      <charset val="1"/>
    </font>
    <font>
      <b/>
      <sz val="13"/>
      <color rgb="FF000000"/>
      <name val="DejaVu Sans"/>
      <family val="2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555555"/>
      <name val="DejaVu Sans"/>
      <family val="2"/>
    </font>
    <font>
      <sz val="10"/>
      <color rgb="FF888888"/>
      <name val="DejaVu Sans"/>
      <family val="2"/>
      <charset val="1"/>
    </font>
    <font>
      <i/>
      <sz val="9"/>
      <color rgb="FF666666"/>
      <name val="DejaVu Sans"/>
      <family val="2"/>
    </font>
    <font>
      <i/>
      <sz val="9"/>
      <color rgb="FF666666"/>
      <name val="DejaVu Sans"/>
      <family val="2"/>
      <charset val="1"/>
    </font>
    <font>
      <b/>
      <sz val="16"/>
      <color rgb="FF1F3864"/>
      <name val="Arial"/>
      <family val="2"/>
    </font>
    <font>
      <b/>
      <sz val="10"/>
      <color rgb="FF1F3864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9"/>
      <color rgb="FF000000"/>
      <name val="DejaVu Sans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b/>
      <sz val="13"/>
      <name val="Arial"/>
      <family val="2"/>
    </font>
    <font>
      <i/>
      <sz val="10"/>
      <color rgb="FF555555"/>
      <name val="DejaVu Sans"/>
      <family val="2"/>
    </font>
    <font>
      <i/>
      <sz val="10"/>
      <color rgb="FF555555"/>
      <name val="Arial"/>
      <family val="2"/>
    </font>
    <font>
      <sz val="10"/>
      <color rgb="FF444444"/>
      <name val="DejaVu Sans"/>
      <family val="2"/>
    </font>
    <font>
      <sz val="10"/>
      <color rgb="FF444444"/>
      <name val="Arial"/>
      <family val="2"/>
    </font>
    <font>
      <sz val="8"/>
      <name val="돋움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00FF"/>
      <name val="DejaVu Sans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9F0"/>
      </patternFill>
    </fill>
    <fill>
      <patternFill patternType="solid">
        <fgColor rgb="FFDEEAF1"/>
        <bgColor rgb="FFE3F2FD"/>
      </patternFill>
    </fill>
    <fill>
      <patternFill patternType="solid">
        <fgColor rgb="FFFFF2CC"/>
        <bgColor rgb="FFFFF9C4"/>
      </patternFill>
    </fill>
    <fill>
      <patternFill patternType="solid">
        <fgColor rgb="FFCCDDEE"/>
        <bgColor rgb="FFDEEAF1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FF2CC"/>
      </patternFill>
    </fill>
    <fill>
      <patternFill patternType="solid">
        <fgColor rgb="FFF4F4F4"/>
        <bgColor rgb="FFFFF5F5"/>
      </patternFill>
    </fill>
    <fill>
      <patternFill patternType="solid">
        <fgColor rgb="FFFFF9F0"/>
        <bgColor rgb="FFFFF5F5"/>
      </patternFill>
    </fill>
    <fill>
      <patternFill patternType="solid">
        <fgColor rgb="FFFDECEA"/>
        <bgColor rgb="FFFFF3E0"/>
      </patternFill>
    </fill>
    <fill>
      <patternFill patternType="solid">
        <fgColor rgb="FFFFF5F5"/>
        <bgColor rgb="FFFFF9F0"/>
      </patternFill>
    </fill>
    <fill>
      <patternFill patternType="solid">
        <fgColor rgb="FFFFF3E0"/>
        <bgColor rgb="FFFDECEA"/>
      </patternFill>
    </fill>
    <fill>
      <patternFill patternType="solid">
        <fgColor rgb="FFF3E5F5"/>
        <bgColor rgb="FFFDECEA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176" fontId="7" fillId="4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 indent="1"/>
    </xf>
    <xf numFmtId="0" fontId="0" fillId="4" borderId="2" xfId="0" applyFill="1" applyBorder="1"/>
    <xf numFmtId="0" fontId="0" fillId="5" borderId="2" xfId="0" applyFill="1" applyBorder="1"/>
    <xf numFmtId="177" fontId="7" fillId="4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horizontal="left" vertical="center" indent="1"/>
    </xf>
    <xf numFmtId="0" fontId="0" fillId="6" borderId="2" xfId="0" applyFill="1" applyBorder="1"/>
    <xf numFmtId="0" fontId="11" fillId="6" borderId="2" xfId="0" applyFont="1" applyFill="1" applyBorder="1" applyAlignment="1">
      <alignment horizontal="left" vertical="center" indent="1"/>
    </xf>
    <xf numFmtId="176" fontId="13" fillId="6" borderId="2" xfId="0" applyNumberFormat="1" applyFont="1" applyFill="1" applyBorder="1" applyAlignment="1">
      <alignment horizontal="right" vertical="center"/>
    </xf>
    <xf numFmtId="0" fontId="0" fillId="7" borderId="0" xfId="0" applyFill="1"/>
    <xf numFmtId="177" fontId="8" fillId="5" borderId="2" xfId="0" applyNumberFormat="1" applyFont="1" applyFill="1" applyBorder="1" applyAlignment="1">
      <alignment horizontal="right" vertical="center"/>
    </xf>
    <xf numFmtId="177" fontId="13" fillId="6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 indent="1"/>
    </xf>
    <xf numFmtId="0" fontId="0" fillId="3" borderId="0" xfId="0" applyFill="1"/>
    <xf numFmtId="176" fontId="17" fillId="8" borderId="2" xfId="0" applyNumberFormat="1" applyFont="1" applyFill="1" applyBorder="1" applyAlignment="1">
      <alignment horizontal="right" vertical="center"/>
    </xf>
    <xf numFmtId="177" fontId="18" fillId="8" borderId="2" xfId="0" applyNumberFormat="1" applyFont="1" applyFill="1" applyBorder="1" applyAlignment="1">
      <alignment horizontal="right" vertical="center"/>
    </xf>
    <xf numFmtId="0" fontId="19" fillId="8" borderId="2" xfId="0" applyFont="1" applyFill="1" applyBorder="1" applyAlignment="1">
      <alignment horizontal="left" vertical="center" indent="1"/>
    </xf>
    <xf numFmtId="0" fontId="0" fillId="8" borderId="2" xfId="0" applyFill="1" applyBorder="1"/>
    <xf numFmtId="0" fontId="11" fillId="9" borderId="2" xfId="0" applyFont="1" applyFill="1" applyBorder="1" applyAlignment="1">
      <alignment horizontal="left" vertical="center" indent="1"/>
    </xf>
    <xf numFmtId="176" fontId="8" fillId="9" borderId="2" xfId="0" applyNumberFormat="1" applyFont="1" applyFill="1" applyBorder="1" applyAlignment="1">
      <alignment horizontal="right" vertical="center"/>
    </xf>
    <xf numFmtId="177" fontId="8" fillId="9" borderId="2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9" fillId="9" borderId="2" xfId="0" applyFont="1" applyFill="1" applyBorder="1" applyAlignment="1">
      <alignment horizontal="left" vertical="center" indent="1"/>
    </xf>
    <xf numFmtId="176" fontId="8" fillId="10" borderId="2" xfId="0" applyNumberFormat="1" applyFont="1" applyFill="1" applyBorder="1" applyAlignment="1">
      <alignment horizontal="right" vertical="center"/>
    </xf>
    <xf numFmtId="177" fontId="8" fillId="10" borderId="2" xfId="0" applyNumberFormat="1" applyFont="1" applyFill="1" applyBorder="1" applyAlignment="1">
      <alignment horizontal="right" vertical="center"/>
    </xf>
    <xf numFmtId="0" fontId="8" fillId="10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9" fillId="10" borderId="2" xfId="0" applyFont="1" applyFill="1" applyBorder="1" applyAlignment="1">
      <alignment horizontal="left" vertical="center" indent="1"/>
    </xf>
    <xf numFmtId="0" fontId="11" fillId="11" borderId="2" xfId="0" applyFont="1" applyFill="1" applyBorder="1" applyAlignment="1">
      <alignment horizontal="left" vertical="center" indent="1"/>
    </xf>
    <xf numFmtId="176" fontId="8" fillId="11" borderId="2" xfId="0" applyNumberFormat="1" applyFont="1" applyFill="1" applyBorder="1" applyAlignment="1">
      <alignment horizontal="right" vertical="center"/>
    </xf>
    <xf numFmtId="177" fontId="8" fillId="11" borderId="2" xfId="0" applyNumberFormat="1" applyFont="1" applyFill="1" applyBorder="1" applyAlignment="1">
      <alignment horizontal="right" vertical="center"/>
    </xf>
    <xf numFmtId="0" fontId="8" fillId="11" borderId="2" xfId="0" applyFont="1" applyFill="1" applyBorder="1" applyAlignment="1">
      <alignment horizontal="center" vertical="center" wrapText="1"/>
    </xf>
    <xf numFmtId="0" fontId="0" fillId="11" borderId="2" xfId="0" applyFill="1" applyBorder="1"/>
    <xf numFmtId="0" fontId="9" fillId="11" borderId="2" xfId="0" applyFont="1" applyFill="1" applyBorder="1" applyAlignment="1">
      <alignment horizontal="left" vertical="center" indent="1"/>
    </xf>
    <xf numFmtId="0" fontId="11" fillId="12" borderId="2" xfId="0" applyFont="1" applyFill="1" applyBorder="1" applyAlignment="1">
      <alignment horizontal="left" vertical="center" indent="1"/>
    </xf>
    <xf numFmtId="176" fontId="8" fillId="12" borderId="2" xfId="0" applyNumberFormat="1" applyFont="1" applyFill="1" applyBorder="1" applyAlignment="1">
      <alignment horizontal="right" vertical="center"/>
    </xf>
    <xf numFmtId="177" fontId="8" fillId="12" borderId="2" xfId="0" applyNumberFormat="1" applyFont="1" applyFill="1" applyBorder="1" applyAlignment="1">
      <alignment horizontal="right" vertical="center"/>
    </xf>
    <xf numFmtId="0" fontId="0" fillId="12" borderId="2" xfId="0" applyFill="1" applyBorder="1"/>
    <xf numFmtId="0" fontId="9" fillId="12" borderId="2" xfId="0" applyFont="1" applyFill="1" applyBorder="1" applyAlignment="1">
      <alignment horizontal="left" vertical="center" indent="1"/>
    </xf>
    <xf numFmtId="0" fontId="11" fillId="8" borderId="2" xfId="0" applyFont="1" applyFill="1" applyBorder="1" applyAlignment="1">
      <alignment horizontal="left" vertical="center" indent="1"/>
    </xf>
    <xf numFmtId="176" fontId="8" fillId="8" borderId="2" xfId="0" applyNumberFormat="1" applyFont="1" applyFill="1" applyBorder="1" applyAlignment="1">
      <alignment horizontal="right" vertical="center"/>
    </xf>
    <xf numFmtId="177" fontId="8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 indent="1"/>
    </xf>
    <xf numFmtId="0" fontId="14" fillId="6" borderId="2" xfId="0" applyFont="1" applyFill="1" applyBorder="1" applyAlignment="1">
      <alignment horizontal="left" vertical="center" indent="1"/>
    </xf>
    <xf numFmtId="0" fontId="10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indent="1"/>
    </xf>
    <xf numFmtId="176" fontId="7" fillId="13" borderId="2" xfId="0" applyNumberFormat="1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76" fontId="24" fillId="5" borderId="4" xfId="0" applyNumberFormat="1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3" fillId="3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indent="1"/>
    </xf>
    <xf numFmtId="176" fontId="7" fillId="5" borderId="4" xfId="0" applyNumberFormat="1" applyFont="1" applyFill="1" applyBorder="1" applyAlignment="1">
      <alignment horizontal="right" vertical="center"/>
    </xf>
    <xf numFmtId="176" fontId="7" fillId="4" borderId="4" xfId="0" applyNumberFormat="1" applyFont="1" applyFill="1" applyBorder="1" applyAlignment="1">
      <alignment horizontal="right" vertical="center"/>
    </xf>
    <xf numFmtId="176" fontId="8" fillId="5" borderId="4" xfId="0" applyNumberFormat="1" applyFont="1" applyFill="1" applyBorder="1" applyAlignment="1">
      <alignment horizontal="right" vertical="center"/>
    </xf>
    <xf numFmtId="177" fontId="8" fillId="5" borderId="4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indent="1"/>
    </xf>
    <xf numFmtId="176" fontId="8" fillId="4" borderId="4" xfId="0" applyNumberFormat="1" applyFont="1" applyFill="1" applyBorder="1" applyAlignment="1">
      <alignment horizontal="right" vertical="center"/>
    </xf>
    <xf numFmtId="177" fontId="8" fillId="4" borderId="4" xfId="0" applyNumberFormat="1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indent="1"/>
    </xf>
    <xf numFmtId="176" fontId="13" fillId="6" borderId="4" xfId="0" applyNumberFormat="1" applyFont="1" applyFill="1" applyBorder="1" applyAlignment="1">
      <alignment horizontal="right" vertical="center"/>
    </xf>
    <xf numFmtId="177" fontId="13" fillId="6" borderId="4" xfId="0" applyNumberFormat="1" applyFont="1" applyFill="1" applyBorder="1" applyAlignment="1">
      <alignment horizontal="right" vertical="center"/>
    </xf>
    <xf numFmtId="0" fontId="11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0" fillId="6" borderId="4" xfId="0" applyFill="1" applyBorder="1"/>
    <xf numFmtId="0" fontId="27" fillId="3" borderId="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left" vertical="center" indent="1"/>
    </xf>
    <xf numFmtId="176" fontId="30" fillId="4" borderId="4" xfId="0" applyNumberFormat="1" applyFont="1" applyFill="1" applyBorder="1" applyAlignment="1">
      <alignment horizontal="right" vertical="center"/>
    </xf>
    <xf numFmtId="0" fontId="28" fillId="4" borderId="4" xfId="0" applyFont="1" applyFill="1" applyBorder="1" applyAlignment="1">
      <alignment horizontal="left" vertical="center" indent="1"/>
    </xf>
    <xf numFmtId="0" fontId="0" fillId="4" borderId="4" xfId="0" applyFill="1" applyBorder="1"/>
    <xf numFmtId="0" fontId="6" fillId="14" borderId="4" xfId="0" applyFont="1" applyFill="1" applyBorder="1" applyAlignment="1">
      <alignment horizontal="left" vertical="center" indent="1"/>
    </xf>
    <xf numFmtId="177" fontId="7" fillId="4" borderId="4" xfId="0" applyNumberFormat="1" applyFont="1" applyFill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 indent="1"/>
    </xf>
    <xf numFmtId="0" fontId="16" fillId="8" borderId="4" xfId="0" applyFont="1" applyFill="1" applyBorder="1" applyAlignment="1">
      <alignment horizontal="left" vertical="center" indent="1"/>
    </xf>
    <xf numFmtId="176" fontId="31" fillId="8" borderId="4" xfId="0" applyNumberFormat="1" applyFont="1" applyFill="1" applyBorder="1" applyAlignment="1">
      <alignment horizontal="right" vertical="center"/>
    </xf>
    <xf numFmtId="0" fontId="9" fillId="8" borderId="4" xfId="0" applyFont="1" applyFill="1" applyBorder="1" applyAlignment="1">
      <alignment horizontal="left" vertical="center" indent="1"/>
    </xf>
    <xf numFmtId="177" fontId="13" fillId="8" borderId="4" xfId="0" applyNumberFormat="1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left" vertical="center" indent="1"/>
    </xf>
    <xf numFmtId="0" fontId="11" fillId="16" borderId="4" xfId="0" applyFont="1" applyFill="1" applyBorder="1" applyAlignment="1">
      <alignment horizontal="left" vertical="center" indent="1"/>
    </xf>
    <xf numFmtId="177" fontId="8" fillId="16" borderId="4" xfId="0" applyNumberFormat="1" applyFont="1" applyFill="1" applyBorder="1" applyAlignment="1">
      <alignment horizontal="right" vertical="center"/>
    </xf>
    <xf numFmtId="176" fontId="8" fillId="16" borderId="4" xfId="0" applyNumberFormat="1" applyFont="1" applyFill="1" applyBorder="1" applyAlignment="1">
      <alignment horizontal="right" vertical="center"/>
    </xf>
    <xf numFmtId="0" fontId="6" fillId="16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left" vertical="center" indent="1"/>
    </xf>
    <xf numFmtId="177" fontId="8" fillId="17" borderId="4" xfId="0" applyNumberFormat="1" applyFont="1" applyFill="1" applyBorder="1" applyAlignment="1">
      <alignment horizontal="right" vertical="center"/>
    </xf>
    <xf numFmtId="176" fontId="8" fillId="17" borderId="4" xfId="0" applyNumberFormat="1" applyFont="1" applyFill="1" applyBorder="1" applyAlignment="1">
      <alignment horizontal="right" vertical="center"/>
    </xf>
    <xf numFmtId="0" fontId="6" fillId="17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center" indent="1"/>
    </xf>
    <xf numFmtId="177" fontId="8" fillId="8" borderId="4" xfId="0" applyNumberFormat="1" applyFont="1" applyFill="1" applyBorder="1" applyAlignment="1">
      <alignment horizontal="right" vertical="center"/>
    </xf>
    <xf numFmtId="176" fontId="8" fillId="8" borderId="4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left" vertical="center" indent="1"/>
    </xf>
    <xf numFmtId="0" fontId="39" fillId="10" borderId="2" xfId="0" applyFont="1" applyFill="1" applyBorder="1" applyAlignment="1">
      <alignment horizontal="left" vertical="center" indent="1"/>
    </xf>
    <xf numFmtId="0" fontId="42" fillId="4" borderId="2" xfId="0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right" vertical="center"/>
    </xf>
    <xf numFmtId="0" fontId="21" fillId="0" borderId="0" xfId="0" applyFont="1" applyAlignment="1">
      <alignment horizontal="left" vertical="center" indent="1"/>
    </xf>
    <xf numFmtId="0" fontId="11" fillId="5" borderId="1" xfId="0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right" vertical="center"/>
    </xf>
    <xf numFmtId="0" fontId="16" fillId="8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 indent="1"/>
    </xf>
    <xf numFmtId="0" fontId="23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34" fillId="16" borderId="3" xfId="0" applyFont="1" applyFill="1" applyBorder="1" applyAlignment="1">
      <alignment horizontal="left" vertical="center" wrapText="1" indent="1"/>
    </xf>
    <xf numFmtId="0" fontId="34" fillId="17" borderId="3" xfId="0" applyFont="1" applyFill="1" applyBorder="1" applyAlignment="1">
      <alignment horizontal="left" vertical="center" wrapText="1" indent="1"/>
    </xf>
    <xf numFmtId="0" fontId="34" fillId="8" borderId="3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9C4"/>
      <rgbColor rgb="FFE3F2FD"/>
      <rgbColor rgb="FF660066"/>
      <rgbColor rgb="FFFF8080"/>
      <rgbColor rgb="FF0066CC"/>
      <rgbColor rgb="FFCCDDEE"/>
      <rgbColor rgb="FF000080"/>
      <rgbColor rgb="FFFF00FF"/>
      <rgbColor rgb="FFFFF9F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2CC"/>
      <rgbColor rgb="FFDEEAF1"/>
      <rgbColor rgb="FFF3E5F5"/>
      <rgbColor rgb="FFF4F4F4"/>
      <rgbColor rgb="FFFDECEA"/>
      <rgbColor rgb="FF2E75B6"/>
      <rgbColor rgb="FF33CCCC"/>
      <rgbColor rgb="FF99CC00"/>
      <rgbColor rgb="FFFFF5F5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6"/>
  <sheetViews>
    <sheetView tabSelected="1" zoomScale="120" zoomScaleNormal="120" workbookViewId="0">
      <selection activeCell="C30" sqref="C30"/>
    </sheetView>
  </sheetViews>
  <sheetFormatPr baseColWidth="10" defaultColWidth="8.6640625" defaultRowHeight="15"/>
  <cols>
    <col min="1" max="1" width="4" customWidth="1"/>
    <col min="2" max="2" width="19.83203125" customWidth="1"/>
    <col min="3" max="3" width="20" customWidth="1"/>
    <col min="4" max="5" width="16" customWidth="1"/>
    <col min="6" max="6" width="25.5" customWidth="1"/>
    <col min="7" max="7" width="22" customWidth="1"/>
    <col min="8" max="8" width="4" customWidth="1"/>
  </cols>
  <sheetData>
    <row r="1" spans="2:7" ht="7.5" customHeight="1"/>
    <row r="2" spans="2:7" ht="31.5" customHeight="1">
      <c r="B2" s="107" t="s">
        <v>0</v>
      </c>
      <c r="C2" s="107"/>
      <c r="D2" s="107"/>
      <c r="E2" s="107"/>
      <c r="F2" s="107"/>
      <c r="G2" s="107"/>
    </row>
    <row r="3" spans="2:7" ht="7.5" customHeight="1"/>
    <row r="4" spans="2:7" ht="21.75" customHeight="1">
      <c r="B4" s="108" t="s">
        <v>1</v>
      </c>
      <c r="C4" s="108"/>
      <c r="D4" s="108"/>
      <c r="E4" s="108"/>
      <c r="F4" s="108"/>
      <c r="G4" s="108"/>
    </row>
    <row r="5" spans="2:7" ht="19.5" customHeight="1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7" ht="19.5" customHeight="1">
      <c r="B6" s="2" t="s">
        <v>8</v>
      </c>
      <c r="C6" s="3" t="s">
        <v>3</v>
      </c>
      <c r="D6" s="4">
        <v>1800000</v>
      </c>
      <c r="E6" s="5"/>
      <c r="F6" s="6"/>
      <c r="G6" s="7" t="s">
        <v>9</v>
      </c>
    </row>
    <row r="7" spans="2:7" ht="18" customHeight="1">
      <c r="B7" s="8"/>
      <c r="C7" s="3" t="s">
        <v>10</v>
      </c>
      <c r="D7" s="9"/>
      <c r="E7" s="10">
        <v>3.3000000000000002E-2</v>
      </c>
      <c r="F7" s="6">
        <f>D6*E7</f>
        <v>59400</v>
      </c>
      <c r="G7" s="11" t="s">
        <v>11</v>
      </c>
    </row>
    <row r="8" spans="2:7" ht="18" customHeight="1">
      <c r="B8" s="8"/>
      <c r="C8" s="12" t="s">
        <v>12</v>
      </c>
      <c r="D8" s="9"/>
      <c r="E8" s="10">
        <v>5.5E-2</v>
      </c>
      <c r="F8" s="6">
        <f>D6*E8</f>
        <v>99000</v>
      </c>
      <c r="G8" s="11" t="s">
        <v>13</v>
      </c>
    </row>
    <row r="9" spans="2:7" ht="19.5" customHeight="1">
      <c r="B9" s="13"/>
      <c r="C9" s="14" t="s">
        <v>14</v>
      </c>
      <c r="D9" s="13"/>
      <c r="E9" s="13">
        <v>5.5</v>
      </c>
      <c r="F9" s="15">
        <f>D6-F7-F8</f>
        <v>1641600</v>
      </c>
      <c r="G9" s="13"/>
    </row>
    <row r="10" spans="2:7" ht="3.75" customHeight="1">
      <c r="B10" s="16"/>
      <c r="C10" s="16"/>
      <c r="D10" s="16"/>
      <c r="E10" s="16"/>
      <c r="F10" s="16"/>
      <c r="G10" s="16"/>
    </row>
    <row r="11" spans="2:7" ht="19.5" customHeight="1">
      <c r="B11" s="2" t="s">
        <v>15</v>
      </c>
      <c r="C11" s="3" t="s">
        <v>3</v>
      </c>
      <c r="D11" s="4">
        <v>1200000</v>
      </c>
      <c r="E11" s="5"/>
      <c r="F11" s="6"/>
      <c r="G11" s="7" t="s">
        <v>9</v>
      </c>
    </row>
    <row r="12" spans="2:7" ht="18" customHeight="1">
      <c r="B12" s="8"/>
      <c r="C12" s="3" t="s">
        <v>10</v>
      </c>
      <c r="D12" s="9"/>
      <c r="E12" s="10">
        <v>3.3000000000000002E-2</v>
      </c>
      <c r="F12" s="6">
        <f>D11*E12</f>
        <v>39600</v>
      </c>
      <c r="G12" s="11" t="s">
        <v>11</v>
      </c>
    </row>
    <row r="13" spans="2:7" ht="18" customHeight="1">
      <c r="B13" s="8"/>
      <c r="C13" s="12" t="s">
        <v>12</v>
      </c>
      <c r="D13" s="9"/>
      <c r="E13" s="10">
        <v>5.5E-2</v>
      </c>
      <c r="F13" s="6">
        <f>D11*E13</f>
        <v>66000</v>
      </c>
      <c r="G13" s="11" t="s">
        <v>13</v>
      </c>
    </row>
    <row r="14" spans="2:7" ht="19.5" customHeight="1">
      <c r="B14" s="13"/>
      <c r="C14" s="14" t="s">
        <v>16</v>
      </c>
      <c r="D14" s="13"/>
      <c r="E14" s="13"/>
      <c r="F14" s="15">
        <f>D11-F12-F13</f>
        <v>1094400</v>
      </c>
      <c r="G14" s="13"/>
    </row>
    <row r="15" spans="2:7" ht="21.75" customHeight="1">
      <c r="B15" s="109" t="s">
        <v>17</v>
      </c>
      <c r="C15" s="109"/>
      <c r="D15" s="109"/>
      <c r="E15" s="109"/>
      <c r="F15" s="15">
        <f>F9+F14</f>
        <v>2736000</v>
      </c>
      <c r="G15" s="13"/>
    </row>
    <row r="16" spans="2:7" ht="9.75" customHeight="1"/>
    <row r="17" spans="2:7" ht="21.75" customHeight="1">
      <c r="B17" s="108" t="s">
        <v>18</v>
      </c>
      <c r="C17" s="108"/>
      <c r="D17" s="108"/>
      <c r="E17" s="108"/>
      <c r="F17" s="108"/>
      <c r="G17" s="108"/>
    </row>
    <row r="18" spans="2:7" ht="19.5" customHeight="1">
      <c r="B18" s="1" t="s">
        <v>19</v>
      </c>
      <c r="C18" s="1" t="s">
        <v>2</v>
      </c>
      <c r="D18" s="1" t="s">
        <v>20</v>
      </c>
      <c r="E18" s="1" t="s">
        <v>21</v>
      </c>
      <c r="F18" s="1" t="s">
        <v>7</v>
      </c>
      <c r="G18" s="1"/>
    </row>
    <row r="19" spans="2:7" ht="18" customHeight="1">
      <c r="B19" s="2" t="s">
        <v>186</v>
      </c>
      <c r="C19" s="104" t="s">
        <v>176</v>
      </c>
      <c r="D19" s="4">
        <v>650000</v>
      </c>
      <c r="E19" s="17">
        <f>IF(F15=0,"-",IF(D19="","-",D19/F15))</f>
        <v>0.23757309941520469</v>
      </c>
      <c r="F19" s="104" t="s">
        <v>177</v>
      </c>
      <c r="G19" s="8" t="s">
        <v>180</v>
      </c>
    </row>
    <row r="20" spans="2:7" ht="18" customHeight="1">
      <c r="B20" s="2" t="s">
        <v>173</v>
      </c>
      <c r="C20" s="104" t="s">
        <v>178</v>
      </c>
      <c r="D20" s="4">
        <v>10000</v>
      </c>
      <c r="E20" s="17">
        <f>IF(F15=0,"-",IF(D20="","-",D20/F15))</f>
        <v>3.6549707602339179E-3</v>
      </c>
      <c r="F20" s="2"/>
      <c r="G20" s="8" t="s">
        <v>180</v>
      </c>
    </row>
    <row r="21" spans="2:7" ht="18" customHeight="1">
      <c r="B21" s="2" t="s">
        <v>173</v>
      </c>
      <c r="C21" s="104" t="s">
        <v>179</v>
      </c>
      <c r="D21" s="4">
        <v>300000</v>
      </c>
      <c r="E21" s="17">
        <f>IF(F15=0,"-",IF(D21="","-",D21/F15))</f>
        <v>0.10964912280701754</v>
      </c>
      <c r="F21" s="2"/>
      <c r="G21" s="8" t="s">
        <v>180</v>
      </c>
    </row>
    <row r="22" spans="2:7" ht="18" customHeight="1">
      <c r="B22" s="2" t="s">
        <v>186</v>
      </c>
      <c r="C22" s="104" t="s">
        <v>184</v>
      </c>
      <c r="D22" s="4">
        <v>500000</v>
      </c>
      <c r="E22" s="17">
        <f>IF(F15=0,"-",IF(D22="","-",D22/F15))</f>
        <v>0.18274853801169591</v>
      </c>
      <c r="F22" s="2"/>
      <c r="G22" s="8" t="s">
        <v>180</v>
      </c>
    </row>
    <row r="23" spans="2:7" ht="18" customHeight="1">
      <c r="B23" s="2" t="s">
        <v>23</v>
      </c>
      <c r="C23" s="104" t="s">
        <v>170</v>
      </c>
      <c r="D23" s="4">
        <v>11900</v>
      </c>
      <c r="E23" s="17">
        <f>IF(F15=0,"-",IF(D23="","-",D23/F15))</f>
        <v>4.3494152046783625E-3</v>
      </c>
      <c r="F23" s="2" t="s">
        <v>183</v>
      </c>
      <c r="G23" s="8"/>
    </row>
    <row r="24" spans="2:7" ht="18" customHeight="1">
      <c r="B24" s="2" t="s">
        <v>23</v>
      </c>
      <c r="C24" s="104" t="s">
        <v>171</v>
      </c>
      <c r="D24" s="4">
        <v>30000</v>
      </c>
      <c r="E24" s="17">
        <f>IF(F15=0,"-",IF(D24="","-",D24/F15))</f>
        <v>1.0964912280701754E-2</v>
      </c>
      <c r="F24" s="2"/>
      <c r="G24" s="8" t="s">
        <v>181</v>
      </c>
    </row>
    <row r="25" spans="2:7" ht="18" customHeight="1">
      <c r="B25" s="2" t="s">
        <v>23</v>
      </c>
      <c r="C25" s="104" t="s">
        <v>172</v>
      </c>
      <c r="D25" s="4">
        <v>20000</v>
      </c>
      <c r="E25" s="17">
        <f>IF(F15=0,"-",IF(D25="","-",D25/F15))</f>
        <v>7.3099415204678359E-3</v>
      </c>
      <c r="F25" s="2" t="s">
        <v>183</v>
      </c>
      <c r="G25" s="8" t="s">
        <v>182</v>
      </c>
    </row>
    <row r="26" spans="2:7" ht="18" customHeight="1">
      <c r="B26" s="2" t="s">
        <v>23</v>
      </c>
      <c r="C26" s="104" t="s">
        <v>185</v>
      </c>
      <c r="D26" s="4">
        <v>82000</v>
      </c>
      <c r="E26" s="17">
        <f>IF(F15=0,"-",IF(D26="","-",D26/F15))</f>
        <v>2.9970760233918127E-2</v>
      </c>
      <c r="F26" s="2" t="s">
        <v>183</v>
      </c>
      <c r="G26" s="8"/>
    </row>
    <row r="27" spans="2:7" ht="18" customHeight="1">
      <c r="B27" s="2" t="s">
        <v>174</v>
      </c>
      <c r="C27" s="104" t="s">
        <v>175</v>
      </c>
      <c r="D27" s="4">
        <v>400000</v>
      </c>
      <c r="E27" s="17">
        <f>IF(F15=0,"-",IF(D27="","-",D27/F15))</f>
        <v>0.14619883040935672</v>
      </c>
      <c r="F27" s="2"/>
      <c r="G27" s="8" t="s">
        <v>180</v>
      </c>
    </row>
    <row r="28" spans="2:7" ht="18" customHeight="1">
      <c r="B28" s="2"/>
      <c r="C28" s="2"/>
      <c r="D28" s="4"/>
      <c r="E28" s="17"/>
      <c r="F28" s="2"/>
      <c r="G28" s="106"/>
    </row>
    <row r="29" spans="2:7" ht="18" customHeight="1">
      <c r="B29" s="2"/>
      <c r="C29" s="2"/>
      <c r="D29" s="4"/>
      <c r="E29" s="17" t="str">
        <f>IF(F15=0,"-",IF(D29="","-",D29/F15))</f>
        <v>-</v>
      </c>
      <c r="F29" s="2"/>
      <c r="G29" s="8"/>
    </row>
    <row r="30" spans="2:7" ht="18" customHeight="1">
      <c r="B30" s="2"/>
      <c r="C30" s="2"/>
      <c r="D30" s="4"/>
      <c r="E30" s="17" t="str">
        <f>IF(F15=0,"-",IF(D30="","-",D30/F15))</f>
        <v>-</v>
      </c>
      <c r="F30" s="2"/>
      <c r="G30" s="8"/>
    </row>
    <row r="31" spans="2:7" ht="18" customHeight="1">
      <c r="B31" s="2"/>
      <c r="C31" s="2"/>
      <c r="D31" s="4"/>
      <c r="E31" s="17" t="str">
        <f>IF(F15=0,"-",IF(D31="","-",D31/F15))</f>
        <v>-</v>
      </c>
      <c r="F31" s="2"/>
      <c r="G31" s="8"/>
    </row>
    <row r="32" spans="2:7" ht="18" customHeight="1">
      <c r="B32" s="2"/>
      <c r="C32" s="2"/>
      <c r="D32" s="4"/>
      <c r="E32" s="17" t="str">
        <f>IF(F15=0,"-",IF(D32="","-",D32/F15))</f>
        <v>-</v>
      </c>
      <c r="F32" s="2"/>
      <c r="G32" s="8"/>
    </row>
    <row r="33" spans="2:7" ht="18" customHeight="1">
      <c r="B33" s="2"/>
      <c r="C33" s="2"/>
      <c r="D33" s="4"/>
      <c r="E33" s="17" t="str">
        <f>IF(F15=0,"-",IF(D33="","-",D33/F15))</f>
        <v>-</v>
      </c>
      <c r="F33" s="2"/>
      <c r="G33" s="8"/>
    </row>
    <row r="34" spans="2:7" ht="18" customHeight="1">
      <c r="B34" s="2"/>
      <c r="C34" s="2"/>
      <c r="D34" s="4"/>
      <c r="E34" s="17" t="str">
        <f>IF(F15=0,"-",IF(D34="","-",D34/F15))</f>
        <v>-</v>
      </c>
      <c r="F34" s="2"/>
      <c r="G34" s="8"/>
    </row>
    <row r="35" spans="2:7" ht="18" customHeight="1">
      <c r="B35" s="2"/>
      <c r="C35" s="2"/>
      <c r="D35" s="4"/>
      <c r="E35" s="17" t="str">
        <f>IF(F15=0,"-",IF(D35="","-",D35/F15))</f>
        <v>-</v>
      </c>
      <c r="F35" s="2"/>
      <c r="G35" s="8"/>
    </row>
    <row r="36" spans="2:7" ht="18" customHeight="1">
      <c r="B36" s="2"/>
      <c r="C36" s="2"/>
      <c r="D36" s="4"/>
      <c r="E36" s="17" t="str">
        <f>IF(F15=0,"-",IF(D36="","-",D36/F15))</f>
        <v>-</v>
      </c>
      <c r="F36" s="2"/>
      <c r="G36" s="8"/>
    </row>
    <row r="37" spans="2:7" ht="18" customHeight="1">
      <c r="B37" s="2"/>
      <c r="C37" s="2"/>
      <c r="D37" s="4"/>
      <c r="E37" s="17" t="str">
        <f>IF(F15=0,"-",IF(D37="","-",D37/F15))</f>
        <v>-</v>
      </c>
      <c r="F37" s="2"/>
      <c r="G37" s="8"/>
    </row>
    <row r="38" spans="2:7" ht="18" customHeight="1">
      <c r="B38" s="2"/>
      <c r="C38" s="2"/>
      <c r="D38" s="4"/>
      <c r="E38" s="17" t="str">
        <f>IF(F15=0,"-",IF(D38="","-",D38/F15))</f>
        <v>-</v>
      </c>
      <c r="F38" s="2"/>
      <c r="G38" s="8"/>
    </row>
    <row r="39" spans="2:7" ht="21.75" customHeight="1">
      <c r="B39" s="109" t="s">
        <v>24</v>
      </c>
      <c r="C39" s="109"/>
      <c r="D39" s="15">
        <f>SUM(D19:D38)</f>
        <v>2003900</v>
      </c>
      <c r="E39" s="18">
        <f>IF(F15=0,"-",D39/F15)</f>
        <v>0.73241959064327489</v>
      </c>
      <c r="F39" s="13"/>
      <c r="G39" s="13"/>
    </row>
    <row r="40" spans="2:7" ht="9.75" customHeight="1"/>
    <row r="41" spans="2:7" ht="21.75" customHeight="1">
      <c r="B41" s="108" t="s">
        <v>25</v>
      </c>
      <c r="C41" s="108"/>
      <c r="D41" s="108"/>
      <c r="E41" s="108"/>
      <c r="F41" s="108"/>
      <c r="G41" s="108"/>
    </row>
    <row r="42" spans="2:7" ht="19.5" customHeight="1">
      <c r="B42" s="111" t="s">
        <v>17</v>
      </c>
      <c r="C42" s="111"/>
      <c r="D42" s="6">
        <f>F15</f>
        <v>2736000</v>
      </c>
      <c r="E42" s="17">
        <f>IF(F15=0,"-",D42/F15)</f>
        <v>1</v>
      </c>
      <c r="F42" s="19" t="s">
        <v>26</v>
      </c>
      <c r="G42" s="9"/>
    </row>
    <row r="43" spans="2:7" ht="19.5" customHeight="1">
      <c r="B43" s="112" t="s">
        <v>27</v>
      </c>
      <c r="C43" s="112"/>
      <c r="D43" s="6">
        <f>-(D39)</f>
        <v>-2003900</v>
      </c>
      <c r="E43" s="17">
        <f>IF(F15=0,"-",D43/F15)</f>
        <v>-0.73241959064327489</v>
      </c>
      <c r="F43" s="19" t="s">
        <v>28</v>
      </c>
      <c r="G43" s="9"/>
    </row>
    <row r="44" spans="2:7" ht="3.75" customHeight="1">
      <c r="B44" s="20"/>
      <c r="C44" s="20"/>
      <c r="D44" s="20"/>
      <c r="E44" s="20"/>
      <c r="F44" s="20"/>
      <c r="G44" s="20"/>
    </row>
    <row r="45" spans="2:7" ht="27.75" customHeight="1">
      <c r="B45" s="113" t="s">
        <v>29</v>
      </c>
      <c r="C45" s="113"/>
      <c r="D45" s="21">
        <f>F15-(D39)</f>
        <v>732100</v>
      </c>
      <c r="E45" s="22">
        <f>IF(F15=0,"-",D45/F15)</f>
        <v>0.26758040935672517</v>
      </c>
      <c r="F45" s="23" t="s">
        <v>30</v>
      </c>
      <c r="G45" s="24"/>
    </row>
    <row r="46" spans="2:7" ht="9.75" customHeight="1"/>
    <row r="47" spans="2:7" ht="21.75" customHeight="1">
      <c r="B47" s="108" t="s">
        <v>31</v>
      </c>
      <c r="C47" s="108"/>
      <c r="D47" s="108"/>
      <c r="E47" s="108"/>
      <c r="F47" s="108"/>
      <c r="G47" s="108"/>
    </row>
    <row r="48" spans="2:7" ht="19.5" customHeight="1">
      <c r="B48" s="1" t="s">
        <v>19</v>
      </c>
      <c r="C48" s="1" t="s">
        <v>32</v>
      </c>
      <c r="D48" s="1" t="s">
        <v>33</v>
      </c>
      <c r="E48" s="1" t="s">
        <v>34</v>
      </c>
      <c r="F48" s="1"/>
      <c r="G48" s="1" t="s">
        <v>7</v>
      </c>
    </row>
    <row r="49" spans="2:7" ht="19.5" customHeight="1">
      <c r="B49" s="25" t="s">
        <v>22</v>
      </c>
      <c r="C49" s="26">
        <f>SUMIF(B19:B38,"저축",D19:D38)</f>
        <v>1150000</v>
      </c>
      <c r="D49" s="27">
        <f>IF(F15=0,"-",C49/F15)</f>
        <v>0.4203216374269006</v>
      </c>
      <c r="E49" s="28">
        <f>COUNTIF(B19:B38,"저축")</f>
        <v>2</v>
      </c>
      <c r="F49" s="29"/>
      <c r="G49" s="30" t="s">
        <v>35</v>
      </c>
    </row>
    <row r="50" spans="2:7" ht="19.5" customHeight="1">
      <c r="B50" s="105" t="s">
        <v>174</v>
      </c>
      <c r="C50" s="31">
        <f>SUMIF(B19:B38,"거주비",D19:D38)</f>
        <v>400000</v>
      </c>
      <c r="D50" s="32">
        <f>IF(F15=0,"-",C50/F15)</f>
        <v>0.14619883040935672</v>
      </c>
      <c r="E50" s="33">
        <f>COUNTIF(B19:B38,"투자")</f>
        <v>0</v>
      </c>
      <c r="F50" s="34"/>
      <c r="G50" s="35" t="s">
        <v>36</v>
      </c>
    </row>
    <row r="51" spans="2:7" ht="19.5" customHeight="1">
      <c r="B51" s="36" t="s">
        <v>23</v>
      </c>
      <c r="C51" s="37">
        <f>SUMIF(B19:B38,"고정지출",D19:D38)</f>
        <v>453900</v>
      </c>
      <c r="D51" s="38">
        <f>IF(F15=0,"-",C51/F15)</f>
        <v>0.16589912280701755</v>
      </c>
      <c r="E51" s="39">
        <f>COUNTIF(B19:B38,"고정지출")</f>
        <v>6</v>
      </c>
      <c r="F51" s="40"/>
      <c r="G51" s="41" t="s">
        <v>37</v>
      </c>
    </row>
    <row r="52" spans="2:7" ht="19.5" customHeight="1">
      <c r="B52" s="42" t="s">
        <v>38</v>
      </c>
      <c r="C52" s="43">
        <f>D39-SUM(C49,C50,C51)</f>
        <v>0</v>
      </c>
      <c r="D52" s="44">
        <f>IF(F15=0,"-",C52/F15)</f>
        <v>0</v>
      </c>
      <c r="E52" s="45"/>
      <c r="F52" s="45"/>
      <c r="G52" s="46" t="s">
        <v>39</v>
      </c>
    </row>
    <row r="53" spans="2:7" ht="19.5" customHeight="1">
      <c r="B53" s="47" t="s">
        <v>40</v>
      </c>
      <c r="C53" s="48">
        <f>F15-(D39)</f>
        <v>732100</v>
      </c>
      <c r="D53" s="49">
        <f>IF(F15=0,"-",C53/F15)</f>
        <v>0.26758040935672517</v>
      </c>
      <c r="E53" s="24"/>
      <c r="F53" s="24"/>
      <c r="G53" s="50" t="s">
        <v>41</v>
      </c>
    </row>
    <row r="54" spans="2:7" ht="21.75" customHeight="1">
      <c r="B54" s="51" t="s">
        <v>42</v>
      </c>
      <c r="C54" s="15">
        <f>F15</f>
        <v>2736000</v>
      </c>
      <c r="D54" s="18">
        <f>IF(F15=0,"-",C54/F15)</f>
        <v>1</v>
      </c>
      <c r="E54" s="13"/>
      <c r="F54" s="13"/>
      <c r="G54" s="13"/>
    </row>
    <row r="55" spans="2:7" ht="9.75" customHeight="1"/>
    <row r="56" spans="2:7" ht="18" customHeight="1">
      <c r="B56" s="110" t="s">
        <v>43</v>
      </c>
      <c r="C56" s="110"/>
      <c r="D56" s="110"/>
      <c r="E56" s="110"/>
      <c r="F56" s="110"/>
      <c r="G56" s="110"/>
    </row>
  </sheetData>
  <mergeCells count="11">
    <mergeCell ref="B56:G56"/>
    <mergeCell ref="B41:G41"/>
    <mergeCell ref="B42:C42"/>
    <mergeCell ref="B43:C43"/>
    <mergeCell ref="B45:C45"/>
    <mergeCell ref="B47:G47"/>
    <mergeCell ref="B2:G2"/>
    <mergeCell ref="B4:G4"/>
    <mergeCell ref="B15:E15"/>
    <mergeCell ref="B17:G17"/>
    <mergeCell ref="B39:C39"/>
  </mergeCells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9"/>
  <sheetViews>
    <sheetView zoomScaleNormal="100" workbookViewId="0"/>
  </sheetViews>
  <sheetFormatPr baseColWidth="10" defaultColWidth="8.6640625" defaultRowHeight="15"/>
  <cols>
    <col min="1" max="1" width="4" customWidth="1"/>
    <col min="2" max="2" width="6" customWidth="1"/>
    <col min="3" max="3" width="30" customWidth="1"/>
    <col min="4" max="4" width="16" customWidth="1"/>
    <col min="5" max="6" width="14" customWidth="1"/>
    <col min="7" max="7" width="16" customWidth="1"/>
    <col min="8" max="8" width="4" customWidth="1"/>
  </cols>
  <sheetData>
    <row r="1" spans="2:7" ht="7.5" customHeight="1"/>
    <row r="2" spans="2:7" ht="31.5" customHeight="1">
      <c r="B2" s="107" t="s">
        <v>44</v>
      </c>
      <c r="C2" s="107"/>
      <c r="D2" s="107"/>
      <c r="E2" s="107"/>
      <c r="F2" s="107"/>
      <c r="G2" s="107"/>
    </row>
    <row r="3" spans="2:7" ht="7.5" customHeight="1"/>
    <row r="4" spans="2:7" ht="21.75" customHeight="1">
      <c r="B4" s="108" t="s">
        <v>45</v>
      </c>
      <c r="C4" s="108"/>
      <c r="D4" s="108"/>
      <c r="E4" s="108"/>
      <c r="F4" s="108"/>
      <c r="G4" s="108"/>
    </row>
    <row r="5" spans="2:7" ht="19.5" customHeight="1">
      <c r="B5" s="1" t="s">
        <v>46</v>
      </c>
      <c r="C5" s="1" t="s">
        <v>2</v>
      </c>
      <c r="D5" s="1" t="s">
        <v>47</v>
      </c>
      <c r="E5" s="1" t="s">
        <v>48</v>
      </c>
      <c r="F5" s="1" t="s">
        <v>49</v>
      </c>
      <c r="G5" s="1" t="s">
        <v>50</v>
      </c>
    </row>
    <row r="6" spans="2:7" ht="18" customHeight="1">
      <c r="B6" s="52">
        <v>1</v>
      </c>
      <c r="C6" s="53"/>
      <c r="D6" s="54">
        <v>0</v>
      </c>
      <c r="E6" s="55" t="s">
        <v>51</v>
      </c>
      <c r="F6" s="55" t="s">
        <v>52</v>
      </c>
      <c r="G6" s="53"/>
    </row>
    <row r="7" spans="2:7" ht="18" customHeight="1">
      <c r="B7" s="56">
        <v>2</v>
      </c>
      <c r="C7" s="2"/>
      <c r="D7" s="4"/>
      <c r="E7" s="57"/>
      <c r="F7" s="57"/>
      <c r="G7" s="2"/>
    </row>
    <row r="8" spans="2:7" ht="18" customHeight="1">
      <c r="B8" s="52">
        <v>3</v>
      </c>
      <c r="C8" s="53"/>
      <c r="D8" s="54"/>
      <c r="E8" s="55"/>
      <c r="F8" s="55"/>
      <c r="G8" s="53"/>
    </row>
    <row r="9" spans="2:7" ht="18" customHeight="1">
      <c r="B9" s="56">
        <v>4</v>
      </c>
      <c r="C9" s="2"/>
      <c r="D9" s="4"/>
      <c r="E9" s="57"/>
      <c r="F9" s="57"/>
      <c r="G9" s="2"/>
    </row>
    <row r="10" spans="2:7" ht="18" customHeight="1">
      <c r="B10" s="52">
        <v>5</v>
      </c>
      <c r="C10" s="53"/>
      <c r="D10" s="54"/>
      <c r="E10" s="55"/>
      <c r="F10" s="55"/>
      <c r="G10" s="53"/>
    </row>
    <row r="11" spans="2:7" ht="18" customHeight="1">
      <c r="B11" s="56">
        <v>6</v>
      </c>
      <c r="C11" s="2"/>
      <c r="D11" s="4"/>
      <c r="E11" s="57"/>
      <c r="F11" s="57"/>
      <c r="G11" s="2"/>
    </row>
    <row r="12" spans="2:7" ht="18" customHeight="1">
      <c r="B12" s="52">
        <v>7</v>
      </c>
      <c r="C12" s="53"/>
      <c r="D12" s="54"/>
      <c r="E12" s="55"/>
      <c r="F12" s="55"/>
      <c r="G12" s="53"/>
    </row>
    <row r="13" spans="2:7" ht="18" customHeight="1">
      <c r="B13" s="56">
        <v>8</v>
      </c>
      <c r="C13" s="2"/>
      <c r="D13" s="4"/>
      <c r="E13" s="57"/>
      <c r="F13" s="57"/>
      <c r="G13" s="2"/>
    </row>
    <row r="14" spans="2:7" ht="18" customHeight="1">
      <c r="B14" s="52">
        <v>9</v>
      </c>
      <c r="C14" s="53"/>
      <c r="D14" s="54"/>
      <c r="E14" s="55"/>
      <c r="F14" s="55"/>
      <c r="G14" s="53"/>
    </row>
    <row r="15" spans="2:7" ht="18" customHeight="1">
      <c r="B15" s="56">
        <v>10</v>
      </c>
      <c r="C15" s="2"/>
      <c r="D15" s="4"/>
      <c r="E15" s="57"/>
      <c r="F15" s="57"/>
      <c r="G15" s="2"/>
    </row>
    <row r="16" spans="2:7" ht="18" customHeight="1">
      <c r="B16" s="52">
        <v>11</v>
      </c>
      <c r="C16" s="53"/>
      <c r="D16" s="54"/>
      <c r="E16" s="55"/>
      <c r="F16" s="55"/>
      <c r="G16" s="53"/>
    </row>
    <row r="17" spans="2:7" ht="18" customHeight="1">
      <c r="B17" s="56">
        <v>12</v>
      </c>
      <c r="C17" s="2"/>
      <c r="D17" s="4"/>
      <c r="E17" s="57"/>
      <c r="F17" s="57"/>
      <c r="G17" s="2"/>
    </row>
    <row r="18" spans="2:7" ht="18" customHeight="1">
      <c r="B18" s="52">
        <v>13</v>
      </c>
      <c r="C18" s="53"/>
      <c r="D18" s="54"/>
      <c r="E18" s="55"/>
      <c r="F18" s="55"/>
      <c r="G18" s="53"/>
    </row>
    <row r="19" spans="2:7" ht="18" customHeight="1">
      <c r="B19" s="56">
        <v>14</v>
      </c>
      <c r="C19" s="2"/>
      <c r="D19" s="4"/>
      <c r="E19" s="57"/>
      <c r="F19" s="57"/>
      <c r="G19" s="2"/>
    </row>
    <row r="20" spans="2:7" ht="18" customHeight="1">
      <c r="B20" s="52">
        <v>15</v>
      </c>
      <c r="C20" s="53"/>
      <c r="D20" s="54"/>
      <c r="E20" s="55"/>
      <c r="F20" s="55"/>
      <c r="G20" s="53"/>
    </row>
    <row r="21" spans="2:7" ht="18" customHeight="1">
      <c r="B21" s="56">
        <v>16</v>
      </c>
      <c r="C21" s="2"/>
      <c r="D21" s="4"/>
      <c r="E21" s="57"/>
      <c r="F21" s="57"/>
      <c r="G21" s="2"/>
    </row>
    <row r="22" spans="2:7" ht="18" customHeight="1">
      <c r="B22" s="52">
        <v>17</v>
      </c>
      <c r="C22" s="53"/>
      <c r="D22" s="54"/>
      <c r="E22" s="55"/>
      <c r="F22" s="55"/>
      <c r="G22" s="53"/>
    </row>
    <row r="23" spans="2:7" ht="18" customHeight="1">
      <c r="B23" s="56">
        <v>18</v>
      </c>
      <c r="C23" s="2"/>
      <c r="D23" s="4"/>
      <c r="E23" s="57"/>
      <c r="F23" s="57"/>
      <c r="G23" s="2"/>
    </row>
    <row r="24" spans="2:7" ht="18" customHeight="1">
      <c r="B24" s="52">
        <v>19</v>
      </c>
      <c r="C24" s="53"/>
      <c r="D24" s="54"/>
      <c r="E24" s="55"/>
      <c r="F24" s="55"/>
      <c r="G24" s="53"/>
    </row>
    <row r="25" spans="2:7" ht="18" customHeight="1">
      <c r="B25" s="56">
        <v>20</v>
      </c>
      <c r="C25" s="2"/>
      <c r="D25" s="4"/>
      <c r="E25" s="57"/>
      <c r="F25" s="57"/>
      <c r="G25" s="2"/>
    </row>
    <row r="26" spans="2:7" ht="18" customHeight="1">
      <c r="B26" s="52">
        <v>21</v>
      </c>
      <c r="C26" s="53"/>
      <c r="D26" s="54"/>
      <c r="E26" s="55"/>
      <c r="F26" s="55"/>
      <c r="G26" s="53"/>
    </row>
    <row r="27" spans="2:7" ht="18" customHeight="1">
      <c r="B27" s="56">
        <v>22</v>
      </c>
      <c r="C27" s="2"/>
      <c r="D27" s="4"/>
      <c r="E27" s="57"/>
      <c r="F27" s="57"/>
      <c r="G27" s="2"/>
    </row>
    <row r="28" spans="2:7" ht="18" customHeight="1">
      <c r="B28" s="52">
        <v>23</v>
      </c>
      <c r="C28" s="53"/>
      <c r="D28" s="54"/>
      <c r="E28" s="55"/>
      <c r="F28" s="55"/>
      <c r="G28" s="53"/>
    </row>
    <row r="29" spans="2:7" ht="18" customHeight="1">
      <c r="B29" s="56">
        <v>24</v>
      </c>
      <c r="C29" s="2"/>
      <c r="D29" s="4"/>
      <c r="E29" s="57"/>
      <c r="F29" s="57"/>
      <c r="G29" s="2"/>
    </row>
    <row r="30" spans="2:7" ht="18" customHeight="1">
      <c r="B30" s="52">
        <v>25</v>
      </c>
      <c r="C30" s="53"/>
      <c r="D30" s="54"/>
      <c r="E30" s="55"/>
      <c r="F30" s="55"/>
      <c r="G30" s="53"/>
    </row>
    <row r="31" spans="2:7" ht="18" customHeight="1">
      <c r="B31" s="56">
        <v>26</v>
      </c>
      <c r="C31" s="2"/>
      <c r="D31" s="4"/>
      <c r="E31" s="57"/>
      <c r="F31" s="57"/>
      <c r="G31" s="2"/>
    </row>
    <row r="32" spans="2:7" ht="18" customHeight="1">
      <c r="B32" s="52">
        <v>27</v>
      </c>
      <c r="C32" s="53"/>
      <c r="D32" s="54"/>
      <c r="E32" s="55"/>
      <c r="F32" s="55"/>
      <c r="G32" s="53"/>
    </row>
    <row r="33" spans="2:7" ht="18" customHeight="1">
      <c r="B33" s="56">
        <v>28</v>
      </c>
      <c r="C33" s="2"/>
      <c r="D33" s="4"/>
      <c r="E33" s="57"/>
      <c r="F33" s="57"/>
      <c r="G33" s="2"/>
    </row>
    <row r="34" spans="2:7" ht="18" customHeight="1">
      <c r="B34" s="52">
        <v>29</v>
      </c>
      <c r="C34" s="53"/>
      <c r="D34" s="54"/>
      <c r="E34" s="55"/>
      <c r="F34" s="55"/>
      <c r="G34" s="53"/>
    </row>
    <row r="35" spans="2:7" ht="18" customHeight="1">
      <c r="B35" s="56">
        <v>30</v>
      </c>
      <c r="C35" s="2"/>
      <c r="D35" s="4"/>
      <c r="E35" s="57"/>
      <c r="F35" s="57"/>
      <c r="G35" s="2"/>
    </row>
    <row r="36" spans="2:7" ht="21.75" customHeight="1">
      <c r="B36" s="109" t="s">
        <v>53</v>
      </c>
      <c r="C36" s="109"/>
      <c r="D36" s="15">
        <f>SUM(D6:D35)</f>
        <v>0</v>
      </c>
      <c r="E36" s="13"/>
      <c r="F36" s="13"/>
      <c r="G36" s="13"/>
    </row>
    <row r="37" spans="2:7" ht="7.5" customHeight="1"/>
    <row r="38" spans="2:7" ht="21.75" customHeight="1">
      <c r="B38" s="111" t="s">
        <v>54</v>
      </c>
      <c r="C38" s="111"/>
      <c r="D38" s="6">
        <f>월급분배기!D45</f>
        <v>732100</v>
      </c>
      <c r="E38" s="17" t="str">
        <f>IF(D45=0,"-",D36/월급분배기!D45)</f>
        <v>-</v>
      </c>
      <c r="F38" s="19" t="s">
        <v>55</v>
      </c>
      <c r="G38" s="9"/>
    </row>
    <row r="39" spans="2:7" ht="18" customHeight="1">
      <c r="B39" s="110" t="s">
        <v>56</v>
      </c>
      <c r="C39" s="110"/>
      <c r="D39" s="110"/>
      <c r="E39" s="110"/>
      <c r="F39" s="110"/>
      <c r="G39" s="110"/>
    </row>
  </sheetData>
  <mergeCells count="5">
    <mergeCell ref="B2:G2"/>
    <mergeCell ref="B4:G4"/>
    <mergeCell ref="B36:C36"/>
    <mergeCell ref="B38:C38"/>
    <mergeCell ref="B39:G39"/>
  </mergeCells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3"/>
  <sheetViews>
    <sheetView zoomScaleNormal="100" workbookViewId="0">
      <selection activeCell="C17" sqref="C17"/>
    </sheetView>
  </sheetViews>
  <sheetFormatPr baseColWidth="10" defaultColWidth="8.6640625" defaultRowHeight="15"/>
  <cols>
    <col min="1" max="1" width="4" customWidth="1"/>
    <col min="2" max="2" width="18" customWidth="1"/>
    <col min="3" max="5" width="14" customWidth="1"/>
    <col min="6" max="6" width="12" customWidth="1"/>
    <col min="7" max="7" width="18" customWidth="1"/>
    <col min="8" max="8" width="4" customWidth="1"/>
  </cols>
  <sheetData>
    <row r="1" spans="2:7" ht="7.5" customHeight="1"/>
    <row r="2" spans="2:7" ht="31.5" customHeight="1">
      <c r="B2" s="107" t="s">
        <v>57</v>
      </c>
      <c r="C2" s="107"/>
      <c r="D2" s="107"/>
      <c r="E2" s="107"/>
      <c r="F2" s="107"/>
      <c r="G2" s="107"/>
    </row>
    <row r="3" spans="2:7" ht="7.5" customHeight="1"/>
    <row r="4" spans="2:7" ht="21.75" customHeight="1">
      <c r="B4" s="114" t="s">
        <v>58</v>
      </c>
      <c r="C4" s="114"/>
      <c r="D4" s="114"/>
      <c r="E4" s="114"/>
      <c r="F4" s="114"/>
      <c r="G4" s="114"/>
    </row>
    <row r="5" spans="2:7" ht="19.5" customHeight="1">
      <c r="B5" s="115" t="s">
        <v>59</v>
      </c>
      <c r="C5" s="115"/>
      <c r="D5" s="115"/>
      <c r="E5" s="58">
        <f>월급분배기!D45</f>
        <v>732100</v>
      </c>
      <c r="F5" s="59" t="s">
        <v>60</v>
      </c>
      <c r="G5" s="60"/>
    </row>
    <row r="6" spans="2:7" ht="7.5" customHeight="1"/>
    <row r="7" spans="2:7" ht="19.5" customHeight="1">
      <c r="B7" s="114" t="s">
        <v>61</v>
      </c>
      <c r="C7" s="114"/>
      <c r="D7" s="114"/>
      <c r="E7" s="114"/>
      <c r="F7" s="114"/>
      <c r="G7" s="114"/>
    </row>
    <row r="8" spans="2:7" ht="19.5" customHeight="1">
      <c r="B8" s="61" t="s">
        <v>48</v>
      </c>
      <c r="C8" s="61" t="s">
        <v>62</v>
      </c>
      <c r="D8" s="61" t="s">
        <v>63</v>
      </c>
      <c r="E8" s="61" t="s">
        <v>64</v>
      </c>
      <c r="F8" s="61" t="s">
        <v>65</v>
      </c>
      <c r="G8" s="61" t="s">
        <v>66</v>
      </c>
    </row>
    <row r="9" spans="2:7" ht="18" customHeight="1">
      <c r="B9" s="62" t="s">
        <v>67</v>
      </c>
      <c r="C9" s="63">
        <v>400000</v>
      </c>
      <c r="D9" s="64">
        <v>0</v>
      </c>
      <c r="E9" s="65">
        <f t="shared" ref="E9:E21" si="0">C9-D9</f>
        <v>400000</v>
      </c>
      <c r="F9" s="66">
        <f t="shared" ref="F9:F21" si="1">IF(C9=0,"-",D9/C9)</f>
        <v>0</v>
      </c>
      <c r="G9" s="67" t="str">
        <f t="shared" ref="G9:G20" si="2">IF(C9=0,"-",IF(D9&gt;C9,"🔴 초과",IF(D9/C9&gt;0.8,"🟡 주의","🟢 여유")))</f>
        <v>🟢 여유</v>
      </c>
    </row>
    <row r="10" spans="2:7" ht="18" customHeight="1">
      <c r="B10" s="68" t="s">
        <v>68</v>
      </c>
      <c r="C10" s="64">
        <v>60000</v>
      </c>
      <c r="D10" s="64">
        <v>0</v>
      </c>
      <c r="E10" s="69">
        <f t="shared" si="0"/>
        <v>60000</v>
      </c>
      <c r="F10" s="70">
        <f t="shared" si="1"/>
        <v>0</v>
      </c>
      <c r="G10" s="71" t="str">
        <f t="shared" si="2"/>
        <v>🟢 여유</v>
      </c>
    </row>
    <row r="11" spans="2:7" ht="18" customHeight="1">
      <c r="B11" s="62" t="s">
        <v>69</v>
      </c>
      <c r="C11" s="63">
        <v>80000</v>
      </c>
      <c r="D11" s="64">
        <v>0</v>
      </c>
      <c r="E11" s="65">
        <f t="shared" si="0"/>
        <v>80000</v>
      </c>
      <c r="F11" s="66">
        <f t="shared" si="1"/>
        <v>0</v>
      </c>
      <c r="G11" s="67" t="str">
        <f t="shared" si="2"/>
        <v>🟢 여유</v>
      </c>
    </row>
    <row r="12" spans="2:7" ht="18" customHeight="1">
      <c r="B12" s="68" t="s">
        <v>70</v>
      </c>
      <c r="C12" s="64">
        <v>50000</v>
      </c>
      <c r="D12" s="64">
        <v>0</v>
      </c>
      <c r="E12" s="69">
        <f t="shared" si="0"/>
        <v>50000</v>
      </c>
      <c r="F12" s="70">
        <f t="shared" si="1"/>
        <v>0</v>
      </c>
      <c r="G12" s="71" t="str">
        <f t="shared" si="2"/>
        <v>🟢 여유</v>
      </c>
    </row>
    <row r="13" spans="2:7" ht="18" customHeight="1">
      <c r="B13" s="62" t="s">
        <v>71</v>
      </c>
      <c r="C13" s="63">
        <v>100000</v>
      </c>
      <c r="D13" s="64">
        <v>0</v>
      </c>
      <c r="E13" s="65">
        <f t="shared" si="0"/>
        <v>100000</v>
      </c>
      <c r="F13" s="66">
        <f t="shared" si="1"/>
        <v>0</v>
      </c>
      <c r="G13" s="67" t="str">
        <f t="shared" si="2"/>
        <v>🟢 여유</v>
      </c>
    </row>
    <row r="14" spans="2:7" ht="18" customHeight="1">
      <c r="B14" s="68" t="s">
        <v>72</v>
      </c>
      <c r="C14" s="64">
        <v>80000</v>
      </c>
      <c r="D14" s="64">
        <v>0</v>
      </c>
      <c r="E14" s="69">
        <f t="shared" si="0"/>
        <v>80000</v>
      </c>
      <c r="F14" s="70">
        <f t="shared" si="1"/>
        <v>0</v>
      </c>
      <c r="G14" s="71" t="str">
        <f t="shared" si="2"/>
        <v>🟢 여유</v>
      </c>
    </row>
    <row r="15" spans="2:7" ht="18" customHeight="1">
      <c r="B15" s="62" t="s">
        <v>73</v>
      </c>
      <c r="C15" s="63">
        <v>100000</v>
      </c>
      <c r="D15" s="64">
        <v>0</v>
      </c>
      <c r="E15" s="65">
        <f t="shared" si="0"/>
        <v>100000</v>
      </c>
      <c r="F15" s="66">
        <f t="shared" si="1"/>
        <v>0</v>
      </c>
      <c r="G15" s="67" t="str">
        <f t="shared" si="2"/>
        <v>🟢 여유</v>
      </c>
    </row>
    <row r="16" spans="2:7" ht="18" customHeight="1">
      <c r="B16" s="68" t="s">
        <v>74</v>
      </c>
      <c r="C16" s="64">
        <v>50000</v>
      </c>
      <c r="D16" s="64">
        <v>0</v>
      </c>
      <c r="E16" s="69">
        <f t="shared" si="0"/>
        <v>50000</v>
      </c>
      <c r="F16" s="70">
        <f t="shared" si="1"/>
        <v>0</v>
      </c>
      <c r="G16" s="71" t="str">
        <f t="shared" si="2"/>
        <v>🟢 여유</v>
      </c>
    </row>
    <row r="17" spans="2:7" ht="18" customHeight="1">
      <c r="B17" s="62" t="s">
        <v>75</v>
      </c>
      <c r="C17" s="63">
        <v>55000</v>
      </c>
      <c r="D17" s="64">
        <v>0</v>
      </c>
      <c r="E17" s="65">
        <f t="shared" si="0"/>
        <v>55000</v>
      </c>
      <c r="F17" s="66">
        <f t="shared" si="1"/>
        <v>0</v>
      </c>
      <c r="G17" s="67" t="str">
        <f t="shared" si="2"/>
        <v>🟢 여유</v>
      </c>
    </row>
    <row r="18" spans="2:7" ht="18" customHeight="1">
      <c r="B18" s="68" t="s">
        <v>76</v>
      </c>
      <c r="C18" s="64">
        <v>50000</v>
      </c>
      <c r="D18" s="64">
        <v>0</v>
      </c>
      <c r="E18" s="69">
        <f t="shared" si="0"/>
        <v>50000</v>
      </c>
      <c r="F18" s="70">
        <f t="shared" si="1"/>
        <v>0</v>
      </c>
      <c r="G18" s="71" t="str">
        <f t="shared" si="2"/>
        <v>🟢 여유</v>
      </c>
    </row>
    <row r="19" spans="2:7" ht="18" customHeight="1">
      <c r="B19" s="62" t="s">
        <v>77</v>
      </c>
      <c r="C19" s="63">
        <v>0</v>
      </c>
      <c r="D19" s="64">
        <v>0</v>
      </c>
      <c r="E19" s="65">
        <f t="shared" si="0"/>
        <v>0</v>
      </c>
      <c r="F19" s="66" t="str">
        <f t="shared" si="1"/>
        <v>-</v>
      </c>
      <c r="G19" s="67" t="str">
        <f t="shared" si="2"/>
        <v>-</v>
      </c>
    </row>
    <row r="20" spans="2:7" ht="18" customHeight="1">
      <c r="B20" s="68" t="s">
        <v>78</v>
      </c>
      <c r="C20" s="64">
        <v>0</v>
      </c>
      <c r="D20" s="64">
        <v>0</v>
      </c>
      <c r="E20" s="69">
        <f t="shared" si="0"/>
        <v>0</v>
      </c>
      <c r="F20" s="70" t="str">
        <f t="shared" si="1"/>
        <v>-</v>
      </c>
      <c r="G20" s="71" t="str">
        <f t="shared" si="2"/>
        <v>-</v>
      </c>
    </row>
    <row r="21" spans="2:7" ht="21.75" customHeight="1">
      <c r="B21" s="72" t="s">
        <v>42</v>
      </c>
      <c r="C21" s="73">
        <f>SUM(C9:C20)</f>
        <v>1025000</v>
      </c>
      <c r="D21" s="73">
        <f>SUM(D9:D20)</f>
        <v>0</v>
      </c>
      <c r="E21" s="73">
        <f t="shared" si="0"/>
        <v>1025000</v>
      </c>
      <c r="F21" s="74">
        <f t="shared" si="1"/>
        <v>0</v>
      </c>
      <c r="G21" s="75" t="str">
        <f>IF(C21=0,"-",IF(D21&gt;C21,"🔴 예산 초과","🟢 예산 내"))</f>
        <v>🟢 예산 내</v>
      </c>
    </row>
    <row r="23" spans="2:7" ht="18" customHeight="1">
      <c r="B23" s="116" t="s">
        <v>79</v>
      </c>
      <c r="C23" s="116"/>
      <c r="D23" s="116"/>
      <c r="E23" s="116"/>
      <c r="F23" s="116"/>
      <c r="G23" s="116"/>
    </row>
  </sheetData>
  <mergeCells count="5">
    <mergeCell ref="B2:G2"/>
    <mergeCell ref="B4:G4"/>
    <mergeCell ref="B5:D5"/>
    <mergeCell ref="B7:G7"/>
    <mergeCell ref="B23:G23"/>
  </mergeCells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0"/>
  <sheetViews>
    <sheetView zoomScaleNormal="100" workbookViewId="0">
      <selection activeCell="C7" sqref="C7"/>
    </sheetView>
  </sheetViews>
  <sheetFormatPr baseColWidth="10" defaultColWidth="8.6640625" defaultRowHeight="15"/>
  <cols>
    <col min="1" max="1" width="4" customWidth="1"/>
    <col min="2" max="2" width="16" customWidth="1"/>
    <col min="3" max="6" width="14" customWidth="1"/>
    <col min="7" max="7" width="16" customWidth="1"/>
    <col min="8" max="8" width="14" customWidth="1"/>
    <col min="9" max="9" width="4" customWidth="1"/>
  </cols>
  <sheetData>
    <row r="1" spans="2:8" ht="7.5" customHeight="1"/>
    <row r="2" spans="2:8" ht="31.5" customHeight="1">
      <c r="B2" s="107" t="s">
        <v>80</v>
      </c>
      <c r="C2" s="107"/>
      <c r="D2" s="107"/>
      <c r="E2" s="107"/>
      <c r="F2" s="107"/>
      <c r="G2" s="107"/>
      <c r="H2" s="107"/>
    </row>
    <row r="3" spans="2:8" ht="7.5" customHeight="1"/>
    <row r="4" spans="2:8" ht="21.75" customHeight="1">
      <c r="B4" s="114" t="s">
        <v>81</v>
      </c>
      <c r="C4" s="114"/>
      <c r="D4" s="114"/>
      <c r="E4" s="114"/>
      <c r="F4" s="114"/>
      <c r="G4" s="114"/>
      <c r="H4" s="114"/>
    </row>
    <row r="5" spans="2:8" ht="19.5" customHeight="1">
      <c r="B5" s="61" t="s">
        <v>82</v>
      </c>
      <c r="C5" s="61" t="s">
        <v>83</v>
      </c>
      <c r="D5" s="61" t="s">
        <v>84</v>
      </c>
      <c r="E5" s="61" t="s">
        <v>85</v>
      </c>
      <c r="F5" s="61" t="s">
        <v>86</v>
      </c>
      <c r="G5" s="61" t="s">
        <v>87</v>
      </c>
      <c r="H5" s="61" t="s">
        <v>88</v>
      </c>
    </row>
    <row r="6" spans="2:8" ht="19.5" customHeight="1">
      <c r="B6" s="76" t="s">
        <v>89</v>
      </c>
      <c r="C6" s="63">
        <v>3000000</v>
      </c>
      <c r="D6" s="65">
        <f t="shared" ref="D6:D11" si="0">IF(C6=0,"-",C6/12)</f>
        <v>250000</v>
      </c>
      <c r="E6" s="64">
        <v>0</v>
      </c>
      <c r="F6" s="66">
        <f t="shared" ref="F6:F11" si="1">IF(C6=0,"-",MIN(E6/C6,1))</f>
        <v>0</v>
      </c>
      <c r="G6" s="65">
        <f t="shared" ref="G6:G11" si="2">IF(C6=0,"-",MAX(C6-E6,0))</f>
        <v>3000000</v>
      </c>
      <c r="H6" s="67" t="str">
        <f t="shared" ref="H6:H11" si="3">IF(OR(C6=0,D6=0),"-",IF(E6&gt;=C6,"✅ 달성",CEILING((C6-E6)/D6,1)&amp;"개월 후"))</f>
        <v>12개월 후</v>
      </c>
    </row>
    <row r="7" spans="2:8" ht="19.5" customHeight="1">
      <c r="B7" s="77" t="s">
        <v>90</v>
      </c>
      <c r="C7" s="64">
        <v>2000000</v>
      </c>
      <c r="D7" s="69">
        <f t="shared" si="0"/>
        <v>166666.66666666666</v>
      </c>
      <c r="E7" s="64">
        <v>0</v>
      </c>
      <c r="F7" s="70">
        <f t="shared" si="1"/>
        <v>0</v>
      </c>
      <c r="G7" s="69">
        <f t="shared" si="2"/>
        <v>2000000</v>
      </c>
      <c r="H7" s="71" t="str">
        <f t="shared" si="3"/>
        <v>12개월 후</v>
      </c>
    </row>
    <row r="8" spans="2:8" ht="19.5" customHeight="1">
      <c r="B8" s="76" t="s">
        <v>91</v>
      </c>
      <c r="C8" s="63">
        <v>5000000</v>
      </c>
      <c r="D8" s="65">
        <f t="shared" si="0"/>
        <v>416666.66666666669</v>
      </c>
      <c r="E8" s="64">
        <v>0</v>
      </c>
      <c r="F8" s="66">
        <f t="shared" si="1"/>
        <v>0</v>
      </c>
      <c r="G8" s="65">
        <f t="shared" si="2"/>
        <v>5000000</v>
      </c>
      <c r="H8" s="67" t="str">
        <f t="shared" si="3"/>
        <v>12개월 후</v>
      </c>
    </row>
    <row r="9" spans="2:8" ht="19.5" customHeight="1">
      <c r="B9" s="77" t="s">
        <v>92</v>
      </c>
      <c r="C9" s="64">
        <v>10000000</v>
      </c>
      <c r="D9" s="69">
        <f t="shared" si="0"/>
        <v>833333.33333333337</v>
      </c>
      <c r="E9" s="64">
        <v>0</v>
      </c>
      <c r="F9" s="70">
        <f t="shared" si="1"/>
        <v>0</v>
      </c>
      <c r="G9" s="69">
        <f t="shared" si="2"/>
        <v>10000000</v>
      </c>
      <c r="H9" s="71" t="str">
        <f t="shared" si="3"/>
        <v>12개월 후</v>
      </c>
    </row>
    <row r="10" spans="2:8" ht="19.5" customHeight="1">
      <c r="B10" s="76" t="s">
        <v>93</v>
      </c>
      <c r="C10" s="63">
        <v>0</v>
      </c>
      <c r="D10" s="65" t="str">
        <f t="shared" si="0"/>
        <v>-</v>
      </c>
      <c r="E10" s="64">
        <v>0</v>
      </c>
      <c r="F10" s="66" t="str">
        <f t="shared" si="1"/>
        <v>-</v>
      </c>
      <c r="G10" s="65" t="str">
        <f t="shared" si="2"/>
        <v>-</v>
      </c>
      <c r="H10" s="67" t="str">
        <f t="shared" si="3"/>
        <v>-</v>
      </c>
    </row>
    <row r="11" spans="2:8" ht="19.5" customHeight="1">
      <c r="B11" s="77" t="s">
        <v>94</v>
      </c>
      <c r="C11" s="64">
        <v>0</v>
      </c>
      <c r="D11" s="69" t="str">
        <f t="shared" si="0"/>
        <v>-</v>
      </c>
      <c r="E11" s="64">
        <v>0</v>
      </c>
      <c r="F11" s="70" t="str">
        <f t="shared" si="1"/>
        <v>-</v>
      </c>
      <c r="G11" s="69" t="str">
        <f t="shared" si="2"/>
        <v>-</v>
      </c>
      <c r="H11" s="71" t="str">
        <f t="shared" si="3"/>
        <v>-</v>
      </c>
    </row>
    <row r="12" spans="2:8" ht="21.75" customHeight="1">
      <c r="B12" s="72" t="s">
        <v>42</v>
      </c>
      <c r="C12" s="73">
        <f>SUM(C6:C11)</f>
        <v>20000000</v>
      </c>
      <c r="D12" s="73">
        <f>SUM(D6:D11)</f>
        <v>1666666.6666666665</v>
      </c>
      <c r="E12" s="73">
        <f>SUM(E6:E11)</f>
        <v>0</v>
      </c>
      <c r="F12" s="74">
        <f>IF(C12=0,"-",E12/C12)</f>
        <v>0</v>
      </c>
      <c r="G12" s="73">
        <f>IF(C12=0,"-",C12-E12)</f>
        <v>20000000</v>
      </c>
      <c r="H12" s="78"/>
    </row>
    <row r="14" spans="2:8" ht="21.75" customHeight="1">
      <c r="B14" s="114" t="s">
        <v>95</v>
      </c>
      <c r="C14" s="114"/>
      <c r="D14" s="114"/>
      <c r="E14" s="114"/>
      <c r="F14" s="114"/>
      <c r="G14" s="114"/>
      <c r="H14" s="114"/>
    </row>
    <row r="15" spans="2:8" ht="19.5" customHeight="1">
      <c r="B15" s="61" t="s">
        <v>2</v>
      </c>
      <c r="C15" s="79" t="s">
        <v>96</v>
      </c>
      <c r="D15" s="79" t="s">
        <v>97</v>
      </c>
      <c r="E15" s="79" t="s">
        <v>98</v>
      </c>
      <c r="F15" s="79" t="s">
        <v>99</v>
      </c>
      <c r="G15" s="79" t="s">
        <v>100</v>
      </c>
      <c r="H15" s="79" t="s">
        <v>101</v>
      </c>
    </row>
    <row r="16" spans="2:8" ht="19.5" customHeight="1">
      <c r="B16" s="61" t="s">
        <v>2</v>
      </c>
      <c r="C16" s="79" t="s">
        <v>102</v>
      </c>
      <c r="D16" s="79" t="s">
        <v>103</v>
      </c>
      <c r="E16" s="79" t="s">
        <v>104</v>
      </c>
      <c r="F16" s="79" t="s">
        <v>105</v>
      </c>
      <c r="G16" s="79" t="s">
        <v>106</v>
      </c>
      <c r="H16" s="79" t="s">
        <v>107</v>
      </c>
    </row>
    <row r="17" spans="2:8" ht="16.5" customHeight="1">
      <c r="B17" s="80" t="s">
        <v>108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</row>
    <row r="18" spans="2:8" ht="16.5" customHeight="1">
      <c r="B18" s="80" t="s">
        <v>109</v>
      </c>
      <c r="C18" s="81">
        <v>0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</row>
    <row r="19" spans="2:8" ht="16.5" customHeight="1">
      <c r="B19" s="82" t="s">
        <v>110</v>
      </c>
      <c r="C19" s="81">
        <v>0</v>
      </c>
      <c r="D19" s="81">
        <v>0</v>
      </c>
      <c r="E19" s="81">
        <v>0</v>
      </c>
      <c r="F19" s="81">
        <v>0</v>
      </c>
      <c r="G19" s="81">
        <v>0</v>
      </c>
      <c r="H19" s="81">
        <v>0</v>
      </c>
    </row>
    <row r="20" spans="2:8" ht="16.5" customHeight="1">
      <c r="B20" s="82" t="s">
        <v>111</v>
      </c>
      <c r="C20" s="81">
        <v>0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</row>
    <row r="21" spans="2:8" ht="16.5" customHeight="1">
      <c r="B21" s="80" t="s">
        <v>112</v>
      </c>
      <c r="C21" s="81">
        <v>0</v>
      </c>
      <c r="D21" s="81">
        <v>0</v>
      </c>
      <c r="E21" s="81">
        <v>0</v>
      </c>
      <c r="F21" s="81">
        <v>0</v>
      </c>
      <c r="G21" s="81">
        <v>0</v>
      </c>
      <c r="H21" s="81">
        <v>0</v>
      </c>
    </row>
    <row r="22" spans="2:8" ht="16.5" customHeight="1">
      <c r="B22" s="80" t="s">
        <v>113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0</v>
      </c>
    </row>
    <row r="23" spans="2:8" ht="16.5" customHeight="1">
      <c r="B23" s="82" t="s">
        <v>114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</row>
    <row r="24" spans="2:8" ht="16.5" customHeight="1">
      <c r="B24" s="82" t="s">
        <v>115</v>
      </c>
      <c r="C24" s="81">
        <v>0</v>
      </c>
      <c r="D24" s="81">
        <v>0</v>
      </c>
      <c r="E24" s="81">
        <v>0</v>
      </c>
      <c r="F24" s="81">
        <v>0</v>
      </c>
      <c r="G24" s="81">
        <v>0</v>
      </c>
      <c r="H24" s="81">
        <v>0</v>
      </c>
    </row>
    <row r="25" spans="2:8" ht="16.5" customHeight="1">
      <c r="B25" s="80" t="s">
        <v>116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</row>
    <row r="26" spans="2:8" ht="16.5" customHeight="1">
      <c r="B26" s="80" t="s">
        <v>117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</row>
    <row r="27" spans="2:8" ht="16.5" customHeight="1">
      <c r="B27" s="82" t="s">
        <v>118</v>
      </c>
      <c r="C27" s="81">
        <v>0</v>
      </c>
      <c r="D27" s="81">
        <v>0</v>
      </c>
      <c r="E27" s="81">
        <v>0</v>
      </c>
      <c r="F27" s="81">
        <v>0</v>
      </c>
      <c r="G27" s="81">
        <v>0</v>
      </c>
      <c r="H27" s="81">
        <v>0</v>
      </c>
    </row>
    <row r="28" spans="2:8" ht="16.5" customHeight="1">
      <c r="B28" s="82" t="s">
        <v>119</v>
      </c>
      <c r="C28" s="81">
        <v>0</v>
      </c>
      <c r="D28" s="81">
        <v>0</v>
      </c>
      <c r="E28" s="81">
        <v>0</v>
      </c>
      <c r="F28" s="81">
        <v>0</v>
      </c>
      <c r="G28" s="81">
        <v>0</v>
      </c>
      <c r="H28" s="81">
        <v>0</v>
      </c>
    </row>
    <row r="30" spans="2:8" ht="18" customHeight="1">
      <c r="B30" s="116" t="s">
        <v>120</v>
      </c>
      <c r="C30" s="116"/>
      <c r="D30" s="116"/>
      <c r="E30" s="116"/>
      <c r="F30" s="116"/>
      <c r="G30" s="116"/>
      <c r="H30" s="116"/>
    </row>
  </sheetData>
  <mergeCells count="4">
    <mergeCell ref="B2:H2"/>
    <mergeCell ref="B4:H4"/>
    <mergeCell ref="B14:H14"/>
    <mergeCell ref="B30:H30"/>
  </mergeCells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28"/>
  <sheetViews>
    <sheetView zoomScaleNormal="100" workbookViewId="0"/>
  </sheetViews>
  <sheetFormatPr baseColWidth="10" defaultColWidth="8.6640625" defaultRowHeight="15"/>
  <cols>
    <col min="1" max="1" width="4" customWidth="1"/>
    <col min="2" max="2" width="22" customWidth="1"/>
    <col min="3" max="3" width="16" customWidth="1"/>
    <col min="4" max="4" width="14" customWidth="1"/>
    <col min="5" max="5" width="16" customWidth="1"/>
    <col min="6" max="6" width="4" customWidth="1"/>
  </cols>
  <sheetData>
    <row r="1" spans="2:5" ht="7.5" customHeight="1"/>
    <row r="2" spans="2:5" ht="31.5" customHeight="1">
      <c r="B2" s="107" t="s">
        <v>121</v>
      </c>
      <c r="C2" s="107"/>
      <c r="D2" s="107"/>
      <c r="E2" s="107"/>
    </row>
    <row r="3" spans="2:5" ht="7.5" customHeight="1"/>
    <row r="4" spans="2:5" ht="21.75" customHeight="1">
      <c r="B4" s="114" t="s">
        <v>122</v>
      </c>
      <c r="C4" s="114"/>
      <c r="D4" s="114"/>
      <c r="E4" s="114"/>
    </row>
    <row r="5" spans="2:5" ht="19.5" customHeight="1">
      <c r="B5" s="61" t="s">
        <v>2</v>
      </c>
      <c r="C5" s="61" t="s">
        <v>20</v>
      </c>
      <c r="D5" s="61" t="s">
        <v>7</v>
      </c>
      <c r="E5" s="61"/>
    </row>
    <row r="6" spans="2:5" ht="18" customHeight="1">
      <c r="B6" s="62" t="s">
        <v>123</v>
      </c>
      <c r="C6" s="64">
        <v>0</v>
      </c>
      <c r="D6" s="77"/>
      <c r="E6" s="60"/>
    </row>
    <row r="7" spans="2:5" ht="18" customHeight="1">
      <c r="B7" s="68" t="s">
        <v>124</v>
      </c>
      <c r="C7" s="64">
        <v>0</v>
      </c>
      <c r="D7" s="77"/>
      <c r="E7" s="83"/>
    </row>
    <row r="8" spans="2:5" ht="18" customHeight="1">
      <c r="B8" s="62" t="s">
        <v>125</v>
      </c>
      <c r="C8" s="64">
        <v>0</v>
      </c>
      <c r="D8" s="77"/>
      <c r="E8" s="60"/>
    </row>
    <row r="9" spans="2:5" ht="18" customHeight="1">
      <c r="B9" s="68" t="s">
        <v>126</v>
      </c>
      <c r="C9" s="64">
        <v>0</v>
      </c>
      <c r="D9" s="77"/>
      <c r="E9" s="83"/>
    </row>
    <row r="10" spans="2:5" ht="18" customHeight="1">
      <c r="B10" s="62" t="s">
        <v>127</v>
      </c>
      <c r="C10" s="64">
        <v>0</v>
      </c>
      <c r="D10" s="77"/>
      <c r="E10" s="60"/>
    </row>
    <row r="11" spans="2:5" ht="18" customHeight="1">
      <c r="B11" s="68" t="s">
        <v>128</v>
      </c>
      <c r="C11" s="64">
        <v>0</v>
      </c>
      <c r="D11" s="77"/>
      <c r="E11" s="83"/>
    </row>
    <row r="12" spans="2:5" ht="18" customHeight="1">
      <c r="B12" s="62" t="s">
        <v>129</v>
      </c>
      <c r="C12" s="64">
        <v>0</v>
      </c>
      <c r="D12" s="77"/>
      <c r="E12" s="60"/>
    </row>
    <row r="13" spans="2:5" ht="21.75" customHeight="1">
      <c r="B13" s="72" t="s">
        <v>130</v>
      </c>
      <c r="C13" s="73">
        <f>SUM(C6:C12)</f>
        <v>0</v>
      </c>
      <c r="D13" s="78"/>
      <c r="E13" s="78"/>
    </row>
    <row r="14" spans="2:5" ht="9.75" customHeight="1"/>
    <row r="15" spans="2:5" ht="21.75" customHeight="1">
      <c r="B15" s="114" t="s">
        <v>131</v>
      </c>
      <c r="C15" s="114"/>
      <c r="D15" s="114"/>
      <c r="E15" s="114"/>
    </row>
    <row r="16" spans="2:5" ht="19.5" customHeight="1">
      <c r="B16" s="61" t="s">
        <v>2</v>
      </c>
      <c r="C16" s="61" t="s">
        <v>132</v>
      </c>
      <c r="D16" s="61" t="s">
        <v>133</v>
      </c>
      <c r="E16" s="61" t="s">
        <v>134</v>
      </c>
    </row>
    <row r="17" spans="2:5" ht="18" customHeight="1">
      <c r="B17" s="84" t="s">
        <v>135</v>
      </c>
      <c r="C17" s="64">
        <v>0</v>
      </c>
      <c r="D17" s="85">
        <v>0</v>
      </c>
      <c r="E17" s="64">
        <v>0</v>
      </c>
    </row>
    <row r="18" spans="2:5" ht="18" customHeight="1">
      <c r="B18" s="86" t="s">
        <v>136</v>
      </c>
      <c r="C18" s="64">
        <v>0</v>
      </c>
      <c r="D18" s="85">
        <v>0</v>
      </c>
      <c r="E18" s="64">
        <v>0</v>
      </c>
    </row>
    <row r="19" spans="2:5" ht="18" customHeight="1">
      <c r="B19" s="84" t="s">
        <v>137</v>
      </c>
      <c r="C19" s="64">
        <v>0</v>
      </c>
      <c r="D19" s="85">
        <v>0</v>
      </c>
      <c r="E19" s="64">
        <v>0</v>
      </c>
    </row>
    <row r="20" spans="2:5" ht="18" customHeight="1">
      <c r="B20" s="86" t="s">
        <v>138</v>
      </c>
      <c r="C20" s="64">
        <v>0</v>
      </c>
      <c r="D20" s="85">
        <v>0</v>
      </c>
      <c r="E20" s="64">
        <v>0</v>
      </c>
    </row>
    <row r="21" spans="2:5" ht="18" customHeight="1">
      <c r="B21" s="84" t="s">
        <v>139</v>
      </c>
      <c r="C21" s="64">
        <v>0</v>
      </c>
      <c r="D21" s="85">
        <v>0</v>
      </c>
      <c r="E21" s="64">
        <v>0</v>
      </c>
    </row>
    <row r="22" spans="2:5" ht="18" customHeight="1">
      <c r="B22" s="86" t="s">
        <v>140</v>
      </c>
      <c r="C22" s="64">
        <v>0</v>
      </c>
      <c r="D22" s="85">
        <v>0</v>
      </c>
      <c r="E22" s="64">
        <v>0</v>
      </c>
    </row>
    <row r="23" spans="2:5" ht="21.75" customHeight="1">
      <c r="B23" s="72" t="s">
        <v>141</v>
      </c>
      <c r="C23" s="73">
        <f>SUM(C17:C22)</f>
        <v>0</v>
      </c>
      <c r="D23" s="78"/>
      <c r="E23" s="73">
        <f>SUM(E17:E22)</f>
        <v>0</v>
      </c>
    </row>
    <row r="24" spans="2:5" ht="9.75" customHeight="1"/>
    <row r="25" spans="2:5" ht="27.75" customHeight="1">
      <c r="B25" s="114" t="s">
        <v>142</v>
      </c>
      <c r="C25" s="114"/>
      <c r="D25" s="114"/>
      <c r="E25" s="114"/>
    </row>
    <row r="26" spans="2:5" ht="30" customHeight="1">
      <c r="B26" s="87" t="s">
        <v>143</v>
      </c>
      <c r="C26" s="88">
        <f>C13-C23</f>
        <v>0</v>
      </c>
      <c r="D26" s="89" t="s">
        <v>144</v>
      </c>
      <c r="E26" s="90" t="str">
        <f>IF(C13=0,"-",C23/C13)</f>
        <v>-</v>
      </c>
    </row>
    <row r="28" spans="2:5" ht="18" customHeight="1">
      <c r="B28" s="110" t="s">
        <v>145</v>
      </c>
      <c r="C28" s="110"/>
      <c r="D28" s="110"/>
      <c r="E28" s="110"/>
    </row>
  </sheetData>
  <mergeCells count="5">
    <mergeCell ref="B2:E2"/>
    <mergeCell ref="B4:E4"/>
    <mergeCell ref="B15:E15"/>
    <mergeCell ref="B25:E25"/>
    <mergeCell ref="B28:E28"/>
  </mergeCells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1"/>
  <sheetViews>
    <sheetView zoomScaleNormal="100" workbookViewId="0">
      <selection activeCell="D11" sqref="D11"/>
    </sheetView>
  </sheetViews>
  <sheetFormatPr baseColWidth="10" defaultColWidth="8.6640625" defaultRowHeight="15"/>
  <cols>
    <col min="1" max="1" width="4" customWidth="1"/>
    <col min="2" max="2" width="22" customWidth="1"/>
    <col min="3" max="3" width="16" customWidth="1"/>
    <col min="4" max="5" width="14" customWidth="1"/>
    <col min="6" max="6" width="16" customWidth="1"/>
    <col min="7" max="7" width="18" customWidth="1"/>
    <col min="8" max="8" width="4" customWidth="1"/>
  </cols>
  <sheetData>
    <row r="1" spans="2:7" ht="7.5" customHeight="1"/>
    <row r="2" spans="2:7" ht="31.5" customHeight="1">
      <c r="B2" s="117" t="s">
        <v>146</v>
      </c>
      <c r="C2" s="117"/>
      <c r="D2" s="117"/>
      <c r="E2" s="117"/>
      <c r="F2" s="117"/>
      <c r="G2" s="117"/>
    </row>
    <row r="3" spans="2:7" ht="7.5" customHeight="1"/>
    <row r="4" spans="2:7" ht="18" customHeight="1">
      <c r="B4" s="118" t="s">
        <v>147</v>
      </c>
      <c r="C4" s="118"/>
      <c r="D4" s="118"/>
      <c r="E4" s="118"/>
      <c r="F4" s="118"/>
      <c r="G4" s="118"/>
    </row>
    <row r="5" spans="2:7" ht="7.5" customHeight="1"/>
    <row r="6" spans="2:7" ht="21.75" customHeight="1">
      <c r="B6" s="114" t="s">
        <v>148</v>
      </c>
      <c r="C6" s="114"/>
      <c r="D6" s="114"/>
      <c r="E6" s="114"/>
      <c r="F6" s="114"/>
      <c r="G6" s="114"/>
    </row>
    <row r="7" spans="2:7" ht="19.5" customHeight="1">
      <c r="B7" s="115" t="s">
        <v>149</v>
      </c>
      <c r="C7" s="115"/>
      <c r="D7" s="58">
        <f>월급분배기!F15</f>
        <v>2736000</v>
      </c>
      <c r="E7" s="60"/>
      <c r="F7" s="60"/>
      <c r="G7" s="91" t="s">
        <v>60</v>
      </c>
    </row>
    <row r="8" spans="2:7" ht="7.5" customHeight="1"/>
    <row r="9" spans="2:7" ht="21.75" customHeight="1">
      <c r="B9" s="119" t="s">
        <v>150</v>
      </c>
      <c r="C9" s="119"/>
      <c r="D9" s="119"/>
      <c r="E9" s="119"/>
      <c r="F9" s="119"/>
      <c r="G9" s="119"/>
    </row>
    <row r="10" spans="2:7" ht="19.5" customHeight="1">
      <c r="B10" s="61" t="s">
        <v>151</v>
      </c>
      <c r="C10" s="61" t="s">
        <v>152</v>
      </c>
      <c r="D10" s="61" t="s">
        <v>153</v>
      </c>
      <c r="E10" s="61" t="s">
        <v>154</v>
      </c>
      <c r="F10" s="61" t="s">
        <v>155</v>
      </c>
      <c r="G10" s="61" t="s">
        <v>156</v>
      </c>
    </row>
    <row r="11" spans="2:7" ht="21.75" customHeight="1">
      <c r="B11" s="92" t="s">
        <v>157</v>
      </c>
      <c r="C11" s="93">
        <v>0.5</v>
      </c>
      <c r="D11" s="94">
        <f>D7*C11</f>
        <v>1368000</v>
      </c>
      <c r="E11" s="64">
        <v>0</v>
      </c>
      <c r="F11" s="93">
        <f>IF(D7=0,"-",E11/D7)</f>
        <v>0</v>
      </c>
      <c r="G11" s="95" t="str">
        <f>IF(D7=0,"-",IF(ABS(E11/D7-C11)&lt;0.05,"✅ 적정",IF(E11/D7&gt;C11+0.05,"🔴 초과","🔵 부족")))</f>
        <v>🔵 부족</v>
      </c>
    </row>
    <row r="12" spans="2:7" ht="21.75" customHeight="1">
      <c r="B12" s="96" t="s">
        <v>158</v>
      </c>
      <c r="C12" s="97">
        <v>0.3</v>
      </c>
      <c r="D12" s="98">
        <f>D7*C12</f>
        <v>820800</v>
      </c>
      <c r="E12" s="64">
        <v>0</v>
      </c>
      <c r="F12" s="97">
        <f>IF(D7=0,"-",E12/D7)</f>
        <v>0</v>
      </c>
      <c r="G12" s="99" t="str">
        <f>IF(D7=0,"-",IF(ABS(E12/D7-C12)&lt;0.05,"✅ 적정",IF(E12/D7&gt;C12+0.05,"🔴 초과","🔵 부족")))</f>
        <v>🔵 부족</v>
      </c>
    </row>
    <row r="13" spans="2:7" ht="21.75" customHeight="1">
      <c r="B13" s="100" t="s">
        <v>159</v>
      </c>
      <c r="C13" s="101">
        <v>0.2</v>
      </c>
      <c r="D13" s="102">
        <f>D7*C13</f>
        <v>547200</v>
      </c>
      <c r="E13" s="64">
        <v>0</v>
      </c>
      <c r="F13" s="101">
        <f>IF(D7=0,"-",E13/D7)</f>
        <v>0</v>
      </c>
      <c r="G13" s="103" t="str">
        <f>IF(D7=0,"-",IF(ABS(E13/D7-C13)&lt;0.05,"✅ 적정",IF(E13/D7&gt;C13+0.05,"🔴 초과","🔵 부족")))</f>
        <v>🔵 부족</v>
      </c>
    </row>
    <row r="14" spans="2:7" ht="19.5" customHeight="1">
      <c r="B14" s="72" t="s">
        <v>160</v>
      </c>
      <c r="C14" s="74" t="s">
        <v>161</v>
      </c>
      <c r="D14" s="73">
        <f>D7</f>
        <v>2736000</v>
      </c>
      <c r="E14" s="73">
        <f>SUM(E11,E12,E13)</f>
        <v>0</v>
      </c>
      <c r="F14" s="74">
        <f>IF(D7=0,"-",E14/D7)</f>
        <v>0</v>
      </c>
      <c r="G14" s="75" t="str">
        <f>IF(D7=0,"-",IF(E14=D7,"✅ 100% 배분","⚠️ "&amp;TEXT(D7-E14,"#,##0")&amp;"원 미배분"))</f>
        <v>⚠️ 2,736,000원 미배분</v>
      </c>
    </row>
    <row r="16" spans="2:7" ht="21.75" customHeight="1">
      <c r="B16" s="120" t="s">
        <v>162</v>
      </c>
      <c r="C16" s="120"/>
      <c r="D16" s="120"/>
      <c r="E16" s="120"/>
      <c r="F16" s="120"/>
      <c r="G16" s="120"/>
    </row>
    <row r="17" spans="2:7" ht="30" customHeight="1">
      <c r="B17" s="92" t="s">
        <v>163</v>
      </c>
      <c r="C17" s="121" t="s">
        <v>164</v>
      </c>
      <c r="D17" s="121"/>
      <c r="E17" s="121"/>
      <c r="F17" s="121"/>
      <c r="G17" s="121"/>
    </row>
    <row r="18" spans="2:7" ht="30" customHeight="1">
      <c r="B18" s="96" t="s">
        <v>165</v>
      </c>
      <c r="C18" s="122" t="s">
        <v>166</v>
      </c>
      <c r="D18" s="122"/>
      <c r="E18" s="122"/>
      <c r="F18" s="122"/>
      <c r="G18" s="122"/>
    </row>
    <row r="19" spans="2:7" ht="30" customHeight="1">
      <c r="B19" s="100" t="s">
        <v>167</v>
      </c>
      <c r="C19" s="123" t="s">
        <v>168</v>
      </c>
      <c r="D19" s="123"/>
      <c r="E19" s="123"/>
      <c r="F19" s="123"/>
      <c r="G19" s="123"/>
    </row>
    <row r="21" spans="2:7" ht="18" customHeight="1">
      <c r="B21" s="116" t="s">
        <v>169</v>
      </c>
      <c r="C21" s="116"/>
      <c r="D21" s="116"/>
      <c r="E21" s="116"/>
      <c r="F21" s="116"/>
      <c r="G21" s="116"/>
    </row>
  </sheetData>
  <mergeCells count="10">
    <mergeCell ref="B16:G16"/>
    <mergeCell ref="C17:G17"/>
    <mergeCell ref="C18:G18"/>
    <mergeCell ref="C19:G19"/>
    <mergeCell ref="B21:G21"/>
    <mergeCell ref="B2:G2"/>
    <mergeCell ref="B4:G4"/>
    <mergeCell ref="B6:G6"/>
    <mergeCell ref="B7:C7"/>
    <mergeCell ref="B9:G9"/>
  </mergeCells>
  <phoneticPr fontId="3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월급분배기</vt:lpstr>
      <vt:lpstr>위시리스트</vt:lpstr>
      <vt:lpstr>생활비 예산관리</vt:lpstr>
      <vt:lpstr>연간 저축 트래커</vt:lpstr>
      <vt:lpstr>순자산 트래커</vt:lpstr>
      <vt:lpstr>재무 진단 (50-30-20)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도 건우</cp:lastModifiedBy>
  <cp:revision>0</cp:revision>
  <dcterms:created xsi:type="dcterms:W3CDTF">2026-05-22T09:34:50Z</dcterms:created>
  <dcterms:modified xsi:type="dcterms:W3CDTF">2026-07-31T12:34:27Z</dcterms:modified>
  <dc:language>en-US</dc:language>
</cp:coreProperties>
</file>